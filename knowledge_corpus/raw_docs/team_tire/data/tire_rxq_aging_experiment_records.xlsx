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使用说明" sheetId="1" state="visible" r:id="rId1"/>
    <sheet name="样品信息" sheetId="2" state="visible" r:id="rId2"/>
    <sheet name="老化工况" sheetId="3" state="visible" r:id="rId3"/>
    <sheet name="磨损原始记录" sheetId="4" state="visible" r:id="rId4"/>
    <sheet name="结果汇总" sheetId="5" state="visible" r:id="rId5"/>
    <sheet name="数据字典" sheetId="6" state="visible" r:id="rId6"/>
  </sheets>
  <definedNames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h:mm"/>
    <numFmt numFmtId="166" formatCode="0.0000"/>
    <numFmt numFmtId="167" formatCode="0.0"/>
    <numFmt numFmtId="168" formatCode="0.000000"/>
  </numFmts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1F2937"/>
      <sz val="11"/>
    </font>
    <font>
      <name val="Carlito"/>
      <b val="1"/>
      <color rgb="FF137C8B"/>
      <sz val="11"/>
    </font>
    <font>
      <name val="Carlito"/>
      <b val="1"/>
      <color rgb="FF1F2937"/>
      <sz val="11"/>
    </font>
  </fonts>
  <fills count="7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37C8B"/>
      </patternFill>
    </fill>
    <fill>
      <patternFill patternType="solid">
        <fgColor rgb="FFE8F4F4"/>
      </patternFill>
    </fill>
    <fill>
      <patternFill patternType="solid">
        <fgColor rgb="FFEAF1F8"/>
      </patternFill>
    </fill>
    <fill>
      <patternFill patternType="solid">
        <fgColor rgb="FFE8F5E9"/>
      </patternFill>
    </fill>
  </fills>
  <borders count="5">
    <border/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3" fillId="4" borderId="3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4" pivotButton="0" quotePrefix="0" xfId="0"/>
    <xf numFmtId="0" fontId="5" fillId="5" borderId="4" applyAlignment="1" pivotButton="0" quotePrefix="0" xfId="0">
      <alignment wrapText="1"/>
    </xf>
    <xf numFmtId="0" fontId="5" fillId="5" borderId="4" applyAlignment="1" pivotButton="0" quotePrefix="0" xfId="0">
      <alignment horizontal="center" wrapText="1"/>
    </xf>
    <xf numFmtId="0" fontId="5" fillId="5" borderId="4" applyAlignment="1" pivotButton="0" quotePrefix="0" xfId="0">
      <alignment horizontal="center" vertical="center" wrapText="1"/>
    </xf>
    <xf numFmtId="2" fontId="3" fillId="0" borderId="1" applyAlignment="1" pivotButton="0" quotePrefix="0" xfId="0">
      <alignment vertical="center"/>
    </xf>
    <xf numFmtId="2" fontId="3" fillId="0" borderId="2" applyAlignment="1" pivotButton="0" quotePrefix="0" xfId="0">
      <alignment vertical="center"/>
    </xf>
    <xf numFmtId="2" fontId="3" fillId="0" borderId="3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4" fontId="3" fillId="0" borderId="3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5" fontId="3" fillId="0" borderId="2" applyAlignment="1" pivotButton="0" quotePrefix="0" xfId="0">
      <alignment vertical="center"/>
    </xf>
    <xf numFmtId="165" fontId="3" fillId="0" borderId="3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6" borderId="2" applyAlignment="1" pivotButton="0" quotePrefix="0" xfId="0">
      <alignment vertical="center"/>
    </xf>
    <xf numFmtId="0" fontId="3" fillId="6" borderId="3" applyAlignment="1" pivotButton="0" quotePrefix="0" xfId="0">
      <alignment vertical="center"/>
    </xf>
    <xf numFmtId="166" fontId="3" fillId="5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  <xf numFmtId="166" fontId="3" fillId="5" borderId="2" applyAlignment="1" pivotButton="0" quotePrefix="0" xfId="0">
      <alignment vertical="center"/>
    </xf>
    <xf numFmtId="166" fontId="3" fillId="6" borderId="2" applyAlignment="1" pivotButton="0" quotePrefix="0" xfId="0">
      <alignment vertical="center"/>
    </xf>
    <xf numFmtId="166" fontId="3" fillId="5" borderId="3" applyAlignment="1" pivotButton="0" quotePrefix="0" xfId="0">
      <alignment vertical="center"/>
    </xf>
    <xf numFmtId="166" fontId="3" fillId="6" borderId="3" applyAlignment="1" pivotButton="0" quotePrefix="0" xfId="0">
      <alignment vertical="center"/>
    </xf>
    <xf numFmtId="167" fontId="3" fillId="0" borderId="1" applyAlignment="1" pivotButton="0" quotePrefix="0" xfId="0">
      <alignment vertical="center"/>
    </xf>
    <xf numFmtId="167" fontId="3" fillId="0" borderId="2" applyAlignment="1" pivotButton="0" quotePrefix="0" xfId="0">
      <alignment vertical="center"/>
    </xf>
    <xf numFmtId="167" fontId="3" fillId="0" borderId="3" applyAlignment="1" pivotButton="0" quotePrefix="0" xfId="0">
      <alignment vertical="center"/>
    </xf>
    <xf numFmtId="1" fontId="3" fillId="0" borderId="1" applyAlignment="1" pivotButton="0" quotePrefix="0" xfId="0">
      <alignment vertical="center"/>
    </xf>
    <xf numFmtId="1" fontId="3" fillId="0" borderId="2" applyAlignment="1" pivotButton="0" quotePrefix="0" xfId="0">
      <alignment vertical="center"/>
    </xf>
    <xf numFmtId="1" fontId="3" fillId="0" borderId="3" applyAlignment="1" pivotButton="0" quotePrefix="0" xfId="0">
      <alignment vertical="center"/>
    </xf>
    <xf numFmtId="168" fontId="3" fillId="0" borderId="1" applyAlignment="1" pivotButton="0" quotePrefix="0" xfId="0">
      <alignment vertical="center"/>
    </xf>
    <xf numFmtId="168" fontId="3" fillId="0" borderId="2" applyAlignment="1" pivotButton="0" quotePrefix="0" xfId="0">
      <alignment vertical="center"/>
    </xf>
    <xf numFmtId="168" fontId="3" fillId="0" borderId="3" applyAlignment="1" pivotButton="0" quotePrefix="0" xfId="0">
      <alignment vertical="center"/>
    </xf>
    <xf numFmtId="167" fontId="3" fillId="0" borderId="1" applyAlignment="1" pivotButton="0" quotePrefix="0" xfId="0">
      <alignment vertical="center"/>
    </xf>
    <xf numFmtId="1" fontId="3" fillId="0" borderId="1" applyAlignment="1" pivotButton="0" quotePrefix="0" xfId="0">
      <alignment vertical="center"/>
    </xf>
    <xf numFmtId="168" fontId="3" fillId="0" borderId="1" applyAlignment="1" pivotButton="0" quotePrefix="0" xfId="0">
      <alignment vertical="center"/>
    </xf>
    <xf numFmtId="167" fontId="3" fillId="0" borderId="2" applyAlignment="1" pivotButton="0" quotePrefix="0" xfId="0">
      <alignment vertical="center"/>
    </xf>
    <xf numFmtId="1" fontId="3" fillId="0" borderId="2" applyAlignment="1" pivotButton="0" quotePrefix="0" xfId="0">
      <alignment vertical="center"/>
    </xf>
    <xf numFmtId="168" fontId="3" fillId="0" borderId="2" applyAlignment="1" pivotButton="0" quotePrefix="0" xfId="0">
      <alignment vertical="center"/>
    </xf>
    <xf numFmtId="167" fontId="3" fillId="0" borderId="3" applyAlignment="1" pivotButton="0" quotePrefix="0" xfId="0">
      <alignment vertical="center"/>
    </xf>
    <xf numFmtId="1" fontId="3" fillId="0" borderId="3" applyAlignment="1" pivotButton="0" quotePrefix="0" xfId="0">
      <alignment vertical="center"/>
    </xf>
    <xf numFmtId="168" fontId="3" fillId="0" borderId="3" applyAlignment="1" pivotButton="0" quotePrefix="0" xfId="0">
      <alignment vertical="center"/>
    </xf>
  </cellXfs>
  <cellStyles count="1">
    <cellStyle name="Normal" xfId="0"/>
  </cellStyles>
  <dxfs count="5">
    <dxf>
      <font>
        <color rgb="FF854D0E"/>
      </font>
      <fill>
        <patternFill patternType="solid">
          <bgColor rgb="FFFFF4CC"/>
        </patternFill>
      </fill>
    </dxf>
    <dxf>
      <font>
        <color rgb="FF991B1B"/>
      </font>
      <fill>
        <patternFill patternType="solid">
          <bgColor rgb="FFFDECEC"/>
        </patternFill>
      </fill>
    </dxf>
    <dxf>
      <font>
        <color rgb="FF854D0E"/>
      </font>
      <fill>
        <patternFill patternType="solid">
          <bgColor rgb="FFFFF4CC"/>
        </patternFill>
      </fill>
    </dxf>
    <dxf>
      <font>
        <color rgb="FF991B1B"/>
      </font>
      <fill>
        <patternFill patternType="solid">
          <bgColor rgb="FFFDECEC"/>
        </patternFill>
      </fill>
    </dxf>
    <dxf>
      <font>
        <b val="1"/>
        <color rgb="FF854D0E"/>
      </font>
      <fill>
        <patternFill patternType="solid">
          <bgColor rgb="FFFFF4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平均摩擦系数随老化工况变化（示例）</a:t>
            </a:r>
          </a:p>
        </rich>
      </tx>
    </title>
    <plotArea>
      <lineChart>
        <grouping val="standard"/>
        <ser>
          <idx val="0"/>
          <order val="0"/>
          <tx>
            <v>avg_friction_coefficient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'结果汇总'!$J$5:$J$7</f>
              <strCache>
                <ptCount val="0"/>
              </strCache>
            </strRef>
          </cat>
          <val>
            <numRef>
              <f>'结果汇总'!$K$5:$K$7</f>
              <numCache>
                <formatCode>0.00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txPr>
          <a:bodyPr anchorCtr="1"/>
          <a:lstStyle/>
          <a:p>
            <a:pPr>
              <a:defRPr sz="675"/>
            </a:pPr>
            <a:r>
              <a:t/>
            </a:r>
          </a:p>
        </txPr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0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8</row>
      <rowOff>0</rowOff>
    </from>
    <to>
      <col>17</col>
      <colOff>0</colOff>
      <row>24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amplesTable" displayName="SamplesTable" ref="A4:M24" headerRowCount="1" totalsRowCount="0" totalsRowShown="0">
  <autoFilter ref="A4:M24"/>
  <tableColumns count="13">
    <tableColumn id="1" name="sample_id"/>
    <tableColumn id="2" name="batch_code"/>
    <tableColumn id="3" name="material_type"/>
    <tableColumn id="4" name="compound_code"/>
    <tableColumn id="5" name="specimen_shape"/>
    <tableColumn id="6" name="length_mm"/>
    <tableColumn id="7" name="width_mm"/>
    <tableColumn id="8" name="thickness_mm"/>
    <tableColumn id="9" name="preparation_date"/>
    <tableColumn id="10" name="aging_condition_id"/>
    <tableColumn id="11" name="repetition_no"/>
    <tableColumn id="12" name="authorization_status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gingConditionsTable" displayName="AgingConditionsTable" ref="A4:N24" headerRowCount="1" totalsRowCount="0" totalsRowShown="0">
  <autoFilter ref="A4:N24"/>
  <tableColumns count="14">
    <tableColumn id="1" name="aging_condition_id"/>
    <tableColumn id="2" name="set_temperature_C"/>
    <tableColumn id="3" name="measured_temperature_mean_C"/>
    <tableColumn id="4" name="temperature_tolerance_C"/>
    <tableColumn id="5" name="duration_h"/>
    <tableColumn id="6" name="atmosphere"/>
    <tableColumn id="7" name="air_exchange"/>
    <tableColumn id="8" name="oven_code"/>
    <tableColumn id="9" name="start_datetime"/>
    <tableColumn id="10" name="end_datetime"/>
    <tableColumn id="11" name="sample_count"/>
    <tableColumn id="12" name="standard_or_sop"/>
    <tableColumn id="13" name="qc_flag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arRawRecordsTable" displayName="WearRawRecordsTable" ref="A4:X34" headerRowCount="1" totalsRowCount="0" totalsRowShown="0">
  <autoFilter ref="A4:X34"/>
  <tableColumns count="24">
    <tableColumn id="1" name="record_id"/>
    <tableColumn id="2" name="sample_id"/>
    <tableColumn id="3" name="aging_condition_id"/>
    <tableColumn id="4" name="test_date"/>
    <tableColumn id="5" name="operator_code"/>
    <tableColumn id="6" name="normal_load_N"/>
    <tableColumn id="7" name="sliding_speed_m_s"/>
    <tableColumn id="8" name="duration_s"/>
    <tableColumn id="9" name="sliding_distance_m"/>
    <tableColumn id="10" name="friction_force_mean_N"/>
    <tableColumn id="11" name="friction_coefficient"/>
    <tableColumn id="12" name="mass_before_mg"/>
    <tableColumn id="13" name="mass_after_mg"/>
    <tableColumn id="14" name="mass_loss_mg"/>
    <tableColumn id="15" name="wear_rate_mg_per_Nm"/>
    <tableColumn id="16" name="surface_temp_C"/>
    <tableColumn id="17" name="ambient_temp_C"/>
    <tableColumn id="18" name="relative_humidity_pct"/>
    <tableColumn id="19" name="counterface_material"/>
    <tableColumn id="20" name="equipment_code"/>
    <tableColumn id="21" name="repetition_no"/>
    <tableColumn id="22" name="source_file"/>
    <tableColumn id="23" name="qc_flag"/>
    <tableColumn id="2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25" customWidth="1" min="4" max="4"/>
    <col width="24" customWidth="1" min="5" max="5"/>
    <col width="28" customWidth="1" min="6" max="6"/>
  </cols>
  <sheetData>
    <row r="1" ht="30" customHeight="1">
      <c r="A1" s="4" t="inlineStr">
        <is>
          <t>航空轮胎热氧老化与滑动磨损实验记录模板</t>
        </is>
      </c>
    </row>
    <row r="2" ht="30" customHeight="1"/>
    <row r="4" ht="24" customHeight="1">
      <c r="A4" s="7" t="inlineStr">
        <is>
          <t>填写原则</t>
        </is>
      </c>
    </row>
    <row r="5">
      <c r="A5" s="21" t="n">
        <v>1</v>
      </c>
      <c r="B5" s="24" t="inlineStr">
        <is>
          <t>数据边界</t>
        </is>
      </c>
      <c r="C5" s="24" t="inlineStr">
        <is>
          <t>每行一个样品、工况或测量记录；单位写在列名中。</t>
        </is>
      </c>
      <c r="D5" s="24" t="inlineStr">
        <is>
          <t>不要合并单元格</t>
        </is>
      </c>
      <c r="E5" s="24" t="inlineStr">
        <is>
          <t>原始值不可覆盖</t>
        </is>
      </c>
      <c r="F5" s="24" t="inlineStr">
        <is>
          <t>示例行以 DEMO- 开头</t>
        </is>
      </c>
    </row>
    <row r="6">
      <c r="A6" s="22" t="n">
        <v>2</v>
      </c>
      <c r="B6" s="25" t="inlineStr">
        <is>
          <t>身份脱敏</t>
        </is>
      </c>
      <c r="C6" s="25" t="inlineStr">
        <is>
          <t>姓名、学号和手机号替换为 OP-A、REVIEWER-B 等代码。</t>
        </is>
      </c>
      <c r="D6" s="25" t="inlineStr">
        <is>
          <t>人员代码</t>
        </is>
      </c>
      <c r="E6" s="25" t="inlineStr">
        <is>
          <t>不得写个人敏感信息</t>
        </is>
      </c>
      <c r="F6" s="25" t="inlineStr">
        <is>
          <t>参见脱敏规范</t>
        </is>
      </c>
    </row>
    <row r="7">
      <c r="A7" s="22" t="n">
        <v>3</v>
      </c>
      <c r="B7" s="25" t="inlineStr">
        <is>
          <t>样品关联</t>
        </is>
      </c>
      <c r="C7" s="25" t="inlineStr">
        <is>
          <t>sample_id 必须同时出现在样品信息和磨损原始记录中。</t>
        </is>
      </c>
      <c r="D7" s="25" t="inlineStr">
        <is>
          <t>TIR-批次-工况-重复</t>
        </is>
      </c>
      <c r="E7" s="25" t="inlineStr">
        <is>
          <t>保持唯一</t>
        </is>
      </c>
      <c r="F7" s="25" t="inlineStr">
        <is>
          <t>不得重复使用</t>
        </is>
      </c>
    </row>
    <row r="8">
      <c r="A8" s="22" t="n">
        <v>4</v>
      </c>
      <c r="B8" s="25" t="inlineStr">
        <is>
          <t>工况关联</t>
        </is>
      </c>
      <c r="C8" s="25" t="inlineStr">
        <is>
          <t>aging_condition_id 对应老化工况表中的唯一编号。</t>
        </is>
      </c>
      <c r="D8" s="25" t="inlineStr">
        <is>
          <t>AGE-100C-72H</t>
        </is>
      </c>
      <c r="E8" s="25" t="inlineStr">
        <is>
          <t>温度与时间分列</t>
        </is>
      </c>
      <c r="F8" s="25" t="inlineStr">
        <is>
          <t>记录实测偏差</t>
        </is>
      </c>
    </row>
    <row r="9">
      <c r="A9" s="22" t="n">
        <v>5</v>
      </c>
      <c r="B9" s="25" t="inlineStr">
        <is>
          <t>原始附件</t>
        </is>
      </c>
      <c r="C9" s="25" t="inlineStr">
        <is>
          <t>仪器 CSV/TXT 保存到 attachments，工作簿记录 source_file。</t>
        </is>
      </c>
      <c r="D9" s="25" t="inlineStr">
        <is>
          <t>相对路径</t>
        </is>
      </c>
      <c r="E9" s="25" t="inlineStr">
        <is>
          <t>保留原文件</t>
        </is>
      </c>
      <c r="F9" s="25" t="inlineStr">
        <is>
          <t>不覆盖仪器数据</t>
        </is>
      </c>
    </row>
    <row r="10">
      <c r="A10" s="22" t="n">
        <v>6</v>
      </c>
      <c r="B10" s="25" t="inlineStr">
        <is>
          <t>质量控制</t>
        </is>
      </c>
      <c r="C10" s="25" t="inlineStr">
        <is>
          <t>异常、缺失、排除均填写 qc_flag 和备注。</t>
        </is>
      </c>
      <c r="D10" s="25" t="inlineStr">
        <is>
          <t>pass/review/exclude</t>
        </is>
      </c>
      <c r="E10" s="25" t="inlineStr">
        <is>
          <t>排除需说明理由</t>
        </is>
      </c>
      <c r="F10" s="25" t="inlineStr">
        <is>
          <t>由复核人确认</t>
        </is>
      </c>
    </row>
    <row r="11">
      <c r="A11" s="22" t="n">
        <v>7</v>
      </c>
      <c r="B11" s="25" t="inlineStr">
        <is>
          <t>公式列</t>
        </is>
      </c>
      <c r="C11" s="25" t="inlineStr">
        <is>
          <t>滑动距离、摩擦系数、质量损失和磨损率由公式计算。</t>
        </is>
      </c>
      <c r="D11" s="25" t="inlineStr">
        <is>
          <t>蓝色列为输入</t>
        </is>
      </c>
      <c r="E11" s="25" t="inlineStr">
        <is>
          <t>绿色列为公式</t>
        </is>
      </c>
      <c r="F11" s="25" t="inlineStr">
        <is>
          <t>不要粘贴覆盖公式</t>
        </is>
      </c>
    </row>
    <row r="12">
      <c r="A12" s="23" t="n">
        <v>8</v>
      </c>
      <c r="B12" s="26" t="inlineStr">
        <is>
          <t>入库条件</t>
        </is>
      </c>
      <c r="C12" s="26" t="inlineStr">
        <is>
          <t>授权状态、数据复核和专业复核全部通过后才能进入 RAG。</t>
        </is>
      </c>
      <c r="D12" s="26" t="inlineStr">
        <is>
          <t>manifest</t>
        </is>
      </c>
      <c r="E12" s="26" t="inlineStr">
        <is>
          <t>review_status=approved</t>
        </is>
      </c>
      <c r="F12" s="26" t="inlineStr">
        <is>
          <t>approved_for_rag=true</t>
        </is>
      </c>
    </row>
  </sheetData>
  <mergeCells count="2">
    <mergeCell ref="A1:F2"/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22" customWidth="1" min="10" max="10"/>
    <col width="16" customWidth="1" min="11" max="11"/>
    <col width="16" customWidth="1" min="12" max="12"/>
    <col width="28" customWidth="1" min="13" max="13"/>
  </cols>
  <sheetData>
    <row r="1" ht="30" customHeight="1">
      <c r="A1" s="4" t="inlineStr">
        <is>
          <t>样品信息</t>
        </is>
      </c>
    </row>
    <row r="2" ht="30" customHeight="1"/>
    <row r="4" ht="34" customHeight="1">
      <c r="A4" s="32" t="inlineStr">
        <is>
          <t>sample_id</t>
        </is>
      </c>
      <c r="B4" s="32" t="inlineStr">
        <is>
          <t>batch_code</t>
        </is>
      </c>
      <c r="C4" s="32" t="inlineStr">
        <is>
          <t>material_type</t>
        </is>
      </c>
      <c r="D4" s="32" t="inlineStr">
        <is>
          <t>compound_code</t>
        </is>
      </c>
      <c r="E4" s="32" t="inlineStr">
        <is>
          <t>specimen_shape</t>
        </is>
      </c>
      <c r="F4" s="32" t="inlineStr">
        <is>
          <t>length_mm</t>
        </is>
      </c>
      <c r="G4" s="32" t="inlineStr">
        <is>
          <t>width_mm</t>
        </is>
      </c>
      <c r="H4" s="32" t="inlineStr">
        <is>
          <t>thickness_mm</t>
        </is>
      </c>
      <c r="I4" s="32" t="inlineStr">
        <is>
          <t>preparation_date</t>
        </is>
      </c>
      <c r="J4" s="32" t="inlineStr">
        <is>
          <t>aging_condition_id</t>
        </is>
      </c>
      <c r="K4" s="32" t="inlineStr">
        <is>
          <t>repetition_no</t>
        </is>
      </c>
      <c r="L4" s="32" t="inlineStr">
        <is>
          <t>authorization_status</t>
        </is>
      </c>
      <c r="M4" s="32" t="inlineStr">
        <is>
          <t>notes</t>
        </is>
      </c>
    </row>
    <row r="5">
      <c r="A5" t="inlineStr">
        <is>
          <t>TIR-RXQ-D000-S15</t>
        </is>
      </c>
      <c r="B5" t="inlineStr">
        <is>
          <t>RXQ-ANON-BATCH</t>
        </is>
      </c>
      <c r="C5" t="inlineStr">
        <is>
          <t>航空轮胎胎面橡胶</t>
        </is>
      </c>
      <c r="D5" t="inlineStr">
        <is>
          <t>ANON-COMPOUND</t>
        </is>
      </c>
      <c r="E5" t="inlineStr">
        <is>
          <t>矩形块</t>
        </is>
      </c>
      <c r="F5" t="n">
        <v>19</v>
      </c>
      <c r="G5" t="n">
        <v>5</v>
      </c>
      <c r="H5" t="n">
        <v>8</v>
      </c>
      <c r="J5" t="inlineStr">
        <is>
          <t>AGE-RXQ-0000H</t>
        </is>
      </c>
      <c r="K5" t="n">
        <v>1</v>
      </c>
      <c r="L5" t="inlineStr">
        <is>
          <t>authorized</t>
        </is>
      </c>
      <c r="M5" t="inlineStr">
        <is>
          <t>原试件编号 15；身份与配方信息已脱敏</t>
        </is>
      </c>
    </row>
    <row r="6">
      <c r="A6" t="inlineStr">
        <is>
          <t>TIR-RXQ-D000-S16</t>
        </is>
      </c>
      <c r="B6" t="inlineStr">
        <is>
          <t>RXQ-ANON-BATCH</t>
        </is>
      </c>
      <c r="C6" t="inlineStr">
        <is>
          <t>航空轮胎胎面橡胶</t>
        </is>
      </c>
      <c r="D6" t="inlineStr">
        <is>
          <t>ANON-COMPOUND</t>
        </is>
      </c>
      <c r="E6" t="inlineStr">
        <is>
          <t>矩形块</t>
        </is>
      </c>
      <c r="F6" t="n">
        <v>19</v>
      </c>
      <c r="G6" t="n">
        <v>5</v>
      </c>
      <c r="H6" t="n">
        <v>8</v>
      </c>
      <c r="J6" t="inlineStr">
        <is>
          <t>AGE-RXQ-0000H</t>
        </is>
      </c>
      <c r="K6" t="n">
        <v>2</v>
      </c>
      <c r="L6" t="inlineStr">
        <is>
          <t>authorized</t>
        </is>
      </c>
      <c r="M6" t="inlineStr">
        <is>
          <t>原试件编号 16；身份与配方信息已脱敏</t>
        </is>
      </c>
    </row>
    <row r="7">
      <c r="A7" t="inlineStr">
        <is>
          <t>TIR-RXQ-D001-S17</t>
        </is>
      </c>
      <c r="B7" t="inlineStr">
        <is>
          <t>RXQ-ANON-BATCH</t>
        </is>
      </c>
      <c r="C7" t="inlineStr">
        <is>
          <t>航空轮胎胎面橡胶</t>
        </is>
      </c>
      <c r="D7" t="inlineStr">
        <is>
          <t>ANON-COMPOUND</t>
        </is>
      </c>
      <c r="E7" t="inlineStr">
        <is>
          <t>矩形块</t>
        </is>
      </c>
      <c r="F7" t="n">
        <v>19</v>
      </c>
      <c r="G7" t="n">
        <v>5</v>
      </c>
      <c r="H7" t="n">
        <v>8</v>
      </c>
      <c r="J7" t="inlineStr">
        <is>
          <t>AGE-RXQ-0024H</t>
        </is>
      </c>
      <c r="K7" t="n">
        <v>1</v>
      </c>
      <c r="L7" t="inlineStr">
        <is>
          <t>authorized</t>
        </is>
      </c>
      <c r="M7" t="inlineStr">
        <is>
          <t>原试件编号 17；身份与配方信息已脱敏</t>
        </is>
      </c>
    </row>
    <row r="8">
      <c r="A8" t="inlineStr">
        <is>
          <t>TIR-RXQ-D001-S18</t>
        </is>
      </c>
      <c r="B8" t="inlineStr">
        <is>
          <t>RXQ-ANON-BATCH</t>
        </is>
      </c>
      <c r="C8" t="inlineStr">
        <is>
          <t>航空轮胎胎面橡胶</t>
        </is>
      </c>
      <c r="D8" t="inlineStr">
        <is>
          <t>ANON-COMPOUND</t>
        </is>
      </c>
      <c r="E8" t="inlineStr">
        <is>
          <t>矩形块</t>
        </is>
      </c>
      <c r="F8" t="n">
        <v>19</v>
      </c>
      <c r="G8" t="n">
        <v>5</v>
      </c>
      <c r="H8" t="n">
        <v>8</v>
      </c>
      <c r="J8" t="inlineStr">
        <is>
          <t>AGE-RXQ-0024H</t>
        </is>
      </c>
      <c r="K8" t="n">
        <v>2</v>
      </c>
      <c r="L8" t="inlineStr">
        <is>
          <t>authorized</t>
        </is>
      </c>
      <c r="M8" t="inlineStr">
        <is>
          <t>原试件编号 18；身份与配方信息已脱敏</t>
        </is>
      </c>
    </row>
    <row r="9">
      <c r="A9" t="inlineStr">
        <is>
          <t>TIR-RXQ-D002-S21</t>
        </is>
      </c>
      <c r="B9" t="inlineStr">
        <is>
          <t>RXQ-ANON-BATCH</t>
        </is>
      </c>
      <c r="C9" t="inlineStr">
        <is>
          <t>航空轮胎胎面橡胶</t>
        </is>
      </c>
      <c r="D9" t="inlineStr">
        <is>
          <t>ANON-COMPOUND</t>
        </is>
      </c>
      <c r="E9" t="inlineStr">
        <is>
          <t>矩形块</t>
        </is>
      </c>
      <c r="F9" t="n">
        <v>19</v>
      </c>
      <c r="G9" t="n">
        <v>5</v>
      </c>
      <c r="H9" t="n">
        <v>8</v>
      </c>
      <c r="J9" t="inlineStr">
        <is>
          <t>AGE-RXQ-0048H</t>
        </is>
      </c>
      <c r="K9" t="n">
        <v>1</v>
      </c>
      <c r="L9" t="inlineStr">
        <is>
          <t>authorized</t>
        </is>
      </c>
      <c r="M9" t="inlineStr">
        <is>
          <t>原试件编号 21；身份与配方信息已脱敏</t>
        </is>
      </c>
    </row>
    <row r="10">
      <c r="A10" t="inlineStr">
        <is>
          <t>TIR-RXQ-D002-S22</t>
        </is>
      </c>
      <c r="B10" t="inlineStr">
        <is>
          <t>RXQ-ANON-BATCH</t>
        </is>
      </c>
      <c r="C10" t="inlineStr">
        <is>
          <t>航空轮胎胎面橡胶</t>
        </is>
      </c>
      <c r="D10" t="inlineStr">
        <is>
          <t>ANON-COMPOUND</t>
        </is>
      </c>
      <c r="E10" t="inlineStr">
        <is>
          <t>矩形块</t>
        </is>
      </c>
      <c r="F10" t="n">
        <v>19</v>
      </c>
      <c r="G10" t="n">
        <v>5</v>
      </c>
      <c r="H10" t="n">
        <v>8</v>
      </c>
      <c r="J10" t="inlineStr">
        <is>
          <t>AGE-RXQ-0048H</t>
        </is>
      </c>
      <c r="K10" t="n">
        <v>2</v>
      </c>
      <c r="L10" t="inlineStr">
        <is>
          <t>authorized</t>
        </is>
      </c>
      <c r="M10" t="inlineStr">
        <is>
          <t>原试件编号 22；身份与配方信息已脱敏</t>
        </is>
      </c>
    </row>
    <row r="11">
      <c r="A11" t="inlineStr">
        <is>
          <t>TIR-RXQ-D003-S26</t>
        </is>
      </c>
      <c r="B11" t="inlineStr">
        <is>
          <t>RXQ-ANON-BATCH</t>
        </is>
      </c>
      <c r="C11" t="inlineStr">
        <is>
          <t>航空轮胎胎面橡胶</t>
        </is>
      </c>
      <c r="D11" t="inlineStr">
        <is>
          <t>ANON-COMPOUND</t>
        </is>
      </c>
      <c r="E11" t="inlineStr">
        <is>
          <t>矩形块</t>
        </is>
      </c>
      <c r="F11" t="n">
        <v>19</v>
      </c>
      <c r="G11" t="n">
        <v>5</v>
      </c>
      <c r="H11" t="n">
        <v>8</v>
      </c>
      <c r="J11" t="inlineStr">
        <is>
          <t>AGE-RXQ-0072H</t>
        </is>
      </c>
      <c r="K11" t="n">
        <v>1</v>
      </c>
      <c r="L11" t="inlineStr">
        <is>
          <t>authorized</t>
        </is>
      </c>
      <c r="M11" t="inlineStr">
        <is>
          <t>原试件编号 26；身份与配方信息已脱敏</t>
        </is>
      </c>
    </row>
    <row r="12">
      <c r="A12" t="inlineStr">
        <is>
          <t>TIR-RXQ-D003-S28</t>
        </is>
      </c>
      <c r="B12" t="inlineStr">
        <is>
          <t>RXQ-ANON-BATCH</t>
        </is>
      </c>
      <c r="C12" t="inlineStr">
        <is>
          <t>航空轮胎胎面橡胶</t>
        </is>
      </c>
      <c r="D12" t="inlineStr">
        <is>
          <t>ANON-COMPOUND</t>
        </is>
      </c>
      <c r="E12" t="inlineStr">
        <is>
          <t>矩形块</t>
        </is>
      </c>
      <c r="F12" t="n">
        <v>19</v>
      </c>
      <c r="G12" t="n">
        <v>5</v>
      </c>
      <c r="H12" t="n">
        <v>8</v>
      </c>
      <c r="J12" t="inlineStr">
        <is>
          <t>AGE-RXQ-0072H</t>
        </is>
      </c>
      <c r="K12" t="n">
        <v>2</v>
      </c>
      <c r="L12" t="inlineStr">
        <is>
          <t>authorized</t>
        </is>
      </c>
      <c r="M12" t="inlineStr">
        <is>
          <t>原试件编号 28；身份与配方信息已脱敏</t>
        </is>
      </c>
    </row>
    <row r="13">
      <c r="A13" t="inlineStr">
        <is>
          <t>TIR-RXQ-D007-S3</t>
        </is>
      </c>
      <c r="B13" t="inlineStr">
        <is>
          <t>RXQ-ANON-BATCH</t>
        </is>
      </c>
      <c r="C13" t="inlineStr">
        <is>
          <t>航空轮胎胎面橡胶</t>
        </is>
      </c>
      <c r="D13" t="inlineStr">
        <is>
          <t>ANON-COMPOUND</t>
        </is>
      </c>
      <c r="E13" t="inlineStr">
        <is>
          <t>矩形块</t>
        </is>
      </c>
      <c r="F13" t="n">
        <v>19</v>
      </c>
      <c r="G13" t="n">
        <v>5</v>
      </c>
      <c r="H13" t="n">
        <v>8</v>
      </c>
      <c r="J13" t="inlineStr">
        <is>
          <t>AGE-RXQ-0168H</t>
        </is>
      </c>
      <c r="K13" t="n">
        <v>1</v>
      </c>
      <c r="L13" t="inlineStr">
        <is>
          <t>authorized</t>
        </is>
      </c>
      <c r="M13" t="inlineStr">
        <is>
          <t>原试件编号 3；身份与配方信息已脱敏</t>
        </is>
      </c>
    </row>
    <row r="14">
      <c r="A14" t="inlineStr">
        <is>
          <t>TIR-RXQ-D007-S5</t>
        </is>
      </c>
      <c r="B14" t="inlineStr">
        <is>
          <t>RXQ-ANON-BATCH</t>
        </is>
      </c>
      <c r="C14" t="inlineStr">
        <is>
          <t>航空轮胎胎面橡胶</t>
        </is>
      </c>
      <c r="D14" t="inlineStr">
        <is>
          <t>ANON-COMPOUND</t>
        </is>
      </c>
      <c r="E14" t="inlineStr">
        <is>
          <t>矩形块</t>
        </is>
      </c>
      <c r="F14" t="n">
        <v>19</v>
      </c>
      <c r="G14" t="n">
        <v>5</v>
      </c>
      <c r="H14" t="n">
        <v>8</v>
      </c>
      <c r="J14" t="inlineStr">
        <is>
          <t>AGE-RXQ-0168H</t>
        </is>
      </c>
      <c r="K14" t="n">
        <v>2</v>
      </c>
      <c r="L14" t="inlineStr">
        <is>
          <t>authorized</t>
        </is>
      </c>
      <c r="M14" t="inlineStr">
        <is>
          <t>原试件编号 5；身份与配方信息已脱敏</t>
        </is>
      </c>
    </row>
    <row r="15">
      <c r="A15" t="inlineStr">
        <is>
          <t>TIR-RXQ-D014-S41</t>
        </is>
      </c>
      <c r="B15" t="inlineStr">
        <is>
          <t>RXQ-ANON-BATCH</t>
        </is>
      </c>
      <c r="C15" t="inlineStr">
        <is>
          <t>航空轮胎胎面橡胶</t>
        </is>
      </c>
      <c r="D15" t="inlineStr">
        <is>
          <t>ANON-COMPOUND</t>
        </is>
      </c>
      <c r="E15" t="inlineStr">
        <is>
          <t>矩形块</t>
        </is>
      </c>
      <c r="F15" t="n">
        <v>19</v>
      </c>
      <c r="G15" t="n">
        <v>5</v>
      </c>
      <c r="H15" t="n">
        <v>8</v>
      </c>
      <c r="J15" t="inlineStr">
        <is>
          <t>AGE-RXQ-0336H</t>
        </is>
      </c>
      <c r="K15" t="n">
        <v>1</v>
      </c>
      <c r="L15" t="inlineStr">
        <is>
          <t>authorized</t>
        </is>
      </c>
      <c r="M15" t="inlineStr">
        <is>
          <t>原试件编号 41；身份与配方信息已脱敏</t>
        </is>
      </c>
    </row>
    <row r="16">
      <c r="A16" t="inlineStr">
        <is>
          <t>TIR-RXQ-D014-S42</t>
        </is>
      </c>
      <c r="B16" t="inlineStr">
        <is>
          <t>RXQ-ANON-BATCH</t>
        </is>
      </c>
      <c r="C16" t="inlineStr">
        <is>
          <t>航空轮胎胎面橡胶</t>
        </is>
      </c>
      <c r="D16" t="inlineStr">
        <is>
          <t>ANON-COMPOUND</t>
        </is>
      </c>
      <c r="E16" t="inlineStr">
        <is>
          <t>矩形块</t>
        </is>
      </c>
      <c r="F16" t="n">
        <v>19</v>
      </c>
      <c r="G16" t="n">
        <v>5</v>
      </c>
      <c r="H16" t="n">
        <v>8</v>
      </c>
      <c r="J16" t="inlineStr">
        <is>
          <t>AGE-RXQ-0336H</t>
        </is>
      </c>
      <c r="K16" t="n">
        <v>2</v>
      </c>
      <c r="L16" t="inlineStr">
        <is>
          <t>authorized</t>
        </is>
      </c>
      <c r="M16" t="inlineStr">
        <is>
          <t>原试件编号 42；身份与配方信息已脱敏</t>
        </is>
      </c>
    </row>
    <row r="17">
      <c r="A17" t="inlineStr">
        <is>
          <t>TIR-RXQ-D021-S53</t>
        </is>
      </c>
      <c r="B17" t="inlineStr">
        <is>
          <t>RXQ-ANON-BATCH</t>
        </is>
      </c>
      <c r="C17" t="inlineStr">
        <is>
          <t>航空轮胎胎面橡胶</t>
        </is>
      </c>
      <c r="D17" t="inlineStr">
        <is>
          <t>ANON-COMPOUND</t>
        </is>
      </c>
      <c r="E17" t="inlineStr">
        <is>
          <t>矩形块</t>
        </is>
      </c>
      <c r="F17" t="n">
        <v>19</v>
      </c>
      <c r="G17" t="n">
        <v>5</v>
      </c>
      <c r="H17" t="n">
        <v>8</v>
      </c>
      <c r="J17" t="inlineStr">
        <is>
          <t>AGE-RXQ-0504H</t>
        </is>
      </c>
      <c r="K17" t="n">
        <v>1</v>
      </c>
      <c r="L17" t="inlineStr">
        <is>
          <t>authorized</t>
        </is>
      </c>
      <c r="M17" t="inlineStr">
        <is>
          <t>原试件编号 53；身份与配方信息已脱敏</t>
        </is>
      </c>
    </row>
    <row r="18">
      <c r="A18" t="inlineStr">
        <is>
          <t>TIR-RXQ-D021-S57</t>
        </is>
      </c>
      <c r="B18" t="inlineStr">
        <is>
          <t>RXQ-ANON-BATCH</t>
        </is>
      </c>
      <c r="C18" t="inlineStr">
        <is>
          <t>航空轮胎胎面橡胶</t>
        </is>
      </c>
      <c r="D18" t="inlineStr">
        <is>
          <t>ANON-COMPOUND</t>
        </is>
      </c>
      <c r="E18" t="inlineStr">
        <is>
          <t>矩形块</t>
        </is>
      </c>
      <c r="F18" t="n">
        <v>19</v>
      </c>
      <c r="G18" t="n">
        <v>5</v>
      </c>
      <c r="H18" t="n">
        <v>8</v>
      </c>
      <c r="J18" t="inlineStr">
        <is>
          <t>AGE-RXQ-0504H</t>
        </is>
      </c>
      <c r="K18" t="n">
        <v>2</v>
      </c>
      <c r="L18" t="inlineStr">
        <is>
          <t>authorized</t>
        </is>
      </c>
      <c r="M18" t="inlineStr">
        <is>
          <t>原试件编号 57；身份与配方信息已脱敏</t>
        </is>
      </c>
    </row>
    <row r="19">
      <c r="A19" t="inlineStr">
        <is>
          <t>TIR-RXQ-D028-S62</t>
        </is>
      </c>
      <c r="B19" t="inlineStr">
        <is>
          <t>RXQ-ANON-BATCH</t>
        </is>
      </c>
      <c r="C19" t="inlineStr">
        <is>
          <t>航空轮胎胎面橡胶</t>
        </is>
      </c>
      <c r="D19" t="inlineStr">
        <is>
          <t>ANON-COMPOUND</t>
        </is>
      </c>
      <c r="E19" t="inlineStr">
        <is>
          <t>矩形块</t>
        </is>
      </c>
      <c r="F19" t="n">
        <v>19</v>
      </c>
      <c r="G19" t="n">
        <v>5</v>
      </c>
      <c r="H19" t="n">
        <v>8</v>
      </c>
      <c r="J19" t="inlineStr">
        <is>
          <t>AGE-RXQ-0672H</t>
        </is>
      </c>
      <c r="K19" t="n">
        <v>1</v>
      </c>
      <c r="L19" t="inlineStr">
        <is>
          <t>authorized</t>
        </is>
      </c>
      <c r="M19" t="inlineStr">
        <is>
          <t>原试件编号 62；身份与配方信息已脱敏</t>
        </is>
      </c>
    </row>
    <row r="20">
      <c r="A20" t="inlineStr">
        <is>
          <t>TIR-RXQ-D028-S63</t>
        </is>
      </c>
      <c r="B20" t="inlineStr">
        <is>
          <t>RXQ-ANON-BATCH</t>
        </is>
      </c>
      <c r="C20" t="inlineStr">
        <is>
          <t>航空轮胎胎面橡胶</t>
        </is>
      </c>
      <c r="D20" t="inlineStr">
        <is>
          <t>ANON-COMPOUND</t>
        </is>
      </c>
      <c r="E20" t="inlineStr">
        <is>
          <t>矩形块</t>
        </is>
      </c>
      <c r="F20" t="n">
        <v>19</v>
      </c>
      <c r="G20" t="n">
        <v>5</v>
      </c>
      <c r="H20" t="n">
        <v>8</v>
      </c>
      <c r="J20" t="inlineStr">
        <is>
          <t>AGE-RXQ-0672H</t>
        </is>
      </c>
      <c r="K20" t="n">
        <v>2</v>
      </c>
      <c r="L20" t="inlineStr">
        <is>
          <t>authorized</t>
        </is>
      </c>
      <c r="M20" t="inlineStr">
        <is>
          <t>原试件编号 63；身份与配方信息已脱敏</t>
        </is>
      </c>
    </row>
    <row r="21">
      <c r="A21" t="inlineStr">
        <is>
          <t>TIR-RXQ-D035-S80</t>
        </is>
      </c>
      <c r="B21" t="inlineStr">
        <is>
          <t>RXQ-ANON-BATCH</t>
        </is>
      </c>
      <c r="C21" t="inlineStr">
        <is>
          <t>航空轮胎胎面橡胶</t>
        </is>
      </c>
      <c r="D21" t="inlineStr">
        <is>
          <t>ANON-COMPOUND</t>
        </is>
      </c>
      <c r="E21" t="inlineStr">
        <is>
          <t>矩形块</t>
        </is>
      </c>
      <c r="F21" t="n">
        <v>19</v>
      </c>
      <c r="G21" t="n">
        <v>5</v>
      </c>
      <c r="H21" t="n">
        <v>8</v>
      </c>
      <c r="J21" t="inlineStr">
        <is>
          <t>AGE-RXQ-0840H</t>
        </is>
      </c>
      <c r="K21" t="n">
        <v>1</v>
      </c>
      <c r="L21" t="inlineStr">
        <is>
          <t>authorized</t>
        </is>
      </c>
      <c r="M21" t="inlineStr">
        <is>
          <t>原试件编号 80；身份与配方信息已脱敏</t>
        </is>
      </c>
    </row>
    <row r="22">
      <c r="A22" t="inlineStr">
        <is>
          <t>TIR-RXQ-D035-S78</t>
        </is>
      </c>
      <c r="B22" t="inlineStr">
        <is>
          <t>RXQ-ANON-BATCH</t>
        </is>
      </c>
      <c r="C22" t="inlineStr">
        <is>
          <t>航空轮胎胎面橡胶</t>
        </is>
      </c>
      <c r="D22" t="inlineStr">
        <is>
          <t>ANON-COMPOUND</t>
        </is>
      </c>
      <c r="E22" t="inlineStr">
        <is>
          <t>矩形块</t>
        </is>
      </c>
      <c r="F22" t="n">
        <v>19</v>
      </c>
      <c r="G22" t="n">
        <v>5</v>
      </c>
      <c r="H22" t="n">
        <v>8</v>
      </c>
      <c r="J22" t="inlineStr">
        <is>
          <t>AGE-RXQ-0840H</t>
        </is>
      </c>
      <c r="K22" t="n">
        <v>2</v>
      </c>
      <c r="L22" t="inlineStr">
        <is>
          <t>authorized</t>
        </is>
      </c>
      <c r="M22" t="inlineStr">
        <is>
          <t>原试件编号 78；身份与配方信息已脱敏</t>
        </is>
      </c>
    </row>
  </sheetData>
  <mergeCells count="1">
    <mergeCell ref="A1:M2"/>
  </mergeCells>
  <dataValidations count="1">
    <dataValidation sqref="L5:L24" showDropDown="0" showInputMessage="0" showErrorMessage="0" allowBlank="0" type="list">
      <formula1>"pending,team_owned,authorized,public,restricted"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7" customWidth="1" min="5" max="5"/>
    <col width="17" customWidth="1" min="6" max="6"/>
    <col width="22" customWidth="1" min="7" max="7"/>
    <col width="17" customWidth="1" min="8" max="8"/>
    <col width="20" customWidth="1" min="9" max="9"/>
    <col width="20" customWidth="1" min="10" max="10"/>
    <col width="17" customWidth="1" min="11" max="11"/>
    <col width="24" customWidth="1" min="12" max="12"/>
    <col width="17" customWidth="1" min="13" max="13"/>
    <col width="26" customWidth="1" min="14" max="14"/>
  </cols>
  <sheetData>
    <row r="1" ht="30" customHeight="1">
      <c r="A1" s="4" t="inlineStr">
        <is>
          <t>热氧老化工况</t>
        </is>
      </c>
    </row>
    <row r="2" ht="30" customHeight="1"/>
    <row r="4" ht="34" customHeight="1">
      <c r="A4" s="32" t="inlineStr">
        <is>
          <t>aging_condition_id</t>
        </is>
      </c>
      <c r="B4" s="32" t="inlineStr">
        <is>
          <t>set_temperature_C</t>
        </is>
      </c>
      <c r="C4" s="32" t="inlineStr">
        <is>
          <t>measured_temperature_mean_C</t>
        </is>
      </c>
      <c r="D4" s="32" t="inlineStr">
        <is>
          <t>temperature_tolerance_C</t>
        </is>
      </c>
      <c r="E4" s="32" t="inlineStr">
        <is>
          <t>duration_h</t>
        </is>
      </c>
      <c r="F4" s="32" t="inlineStr">
        <is>
          <t>atmosphere</t>
        </is>
      </c>
      <c r="G4" s="32" t="inlineStr">
        <is>
          <t>air_exchange</t>
        </is>
      </c>
      <c r="H4" s="32" t="inlineStr">
        <is>
          <t>oven_code</t>
        </is>
      </c>
      <c r="I4" s="32" t="inlineStr">
        <is>
          <t>start_datetime</t>
        </is>
      </c>
      <c r="J4" s="32" t="inlineStr">
        <is>
          <t>end_datetime</t>
        </is>
      </c>
      <c r="K4" s="32" t="inlineStr">
        <is>
          <t>sample_count</t>
        </is>
      </c>
      <c r="L4" s="32" t="inlineStr">
        <is>
          <t>standard_or_sop</t>
        </is>
      </c>
      <c r="M4" s="32" t="inlineStr">
        <is>
          <t>qc_flag</t>
        </is>
      </c>
      <c r="N4" s="32" t="inlineStr">
        <is>
          <t>notes</t>
        </is>
      </c>
    </row>
    <row r="5">
      <c r="A5" t="inlineStr">
        <is>
          <t>AGE-RXQ-0000H</t>
        </is>
      </c>
      <c r="B5" t="n">
        <v>75</v>
      </c>
      <c r="E5" t="n">
        <v>0</v>
      </c>
      <c r="F5" t="inlineStr">
        <is>
          <t>air</t>
        </is>
      </c>
      <c r="G5" t="inlineStr">
        <is>
          <t>automatic_every_10_s</t>
        </is>
      </c>
      <c r="H5" t="inlineStr">
        <is>
          <t>HD-E701</t>
        </is>
      </c>
      <c r="K5" t="n">
        <v>2</v>
      </c>
      <c r="L5" t="inlineStr">
        <is>
          <t>GB/T 3512-2014</t>
        </is>
      </c>
      <c r="M5" t="inlineStr">
        <is>
          <t>pass_with_source_variant</t>
        </is>
      </c>
      <c r="N5" t="inlineStr">
        <is>
          <t>75 °C 通风老化箱；自动换气每 10 s 一次；0 d 为未暴露对照。源磨损工作簿含 2 d 组，但定稿论文方案未列该组，故保留并标注来源差异。</t>
        </is>
      </c>
    </row>
    <row r="6">
      <c r="A6" t="inlineStr">
        <is>
          <t>AGE-RXQ-0024H</t>
        </is>
      </c>
      <c r="B6" t="n">
        <v>75</v>
      </c>
      <c r="E6" t="n">
        <v>24</v>
      </c>
      <c r="F6" t="inlineStr">
        <is>
          <t>air</t>
        </is>
      </c>
      <c r="G6" t="inlineStr">
        <is>
          <t>automatic_every_10_s</t>
        </is>
      </c>
      <c r="H6" t="inlineStr">
        <is>
          <t>HD-E701</t>
        </is>
      </c>
      <c r="K6" t="n">
        <v>2</v>
      </c>
      <c r="L6" t="inlineStr">
        <is>
          <t>GB/T 3512-2014</t>
        </is>
      </c>
      <c r="M6" t="inlineStr">
        <is>
          <t>pass_with_source_variant</t>
        </is>
      </c>
      <c r="N6" t="inlineStr">
        <is>
          <t>75 °C 通风老化箱；自动换气每 10 s 一次；0 d 为未暴露对照。源磨损工作簿含 2 d 组，但定稿论文方案未列该组，故保留并标注来源差异。</t>
        </is>
      </c>
    </row>
    <row r="7">
      <c r="A7" t="inlineStr">
        <is>
          <t>AGE-RXQ-0048H</t>
        </is>
      </c>
      <c r="B7" t="n">
        <v>75</v>
      </c>
      <c r="E7" t="n">
        <v>48</v>
      </c>
      <c r="F7" t="inlineStr">
        <is>
          <t>air</t>
        </is>
      </c>
      <c r="G7" t="inlineStr">
        <is>
          <t>automatic_every_10_s</t>
        </is>
      </c>
      <c r="H7" t="inlineStr">
        <is>
          <t>HD-E701</t>
        </is>
      </c>
      <c r="K7" t="n">
        <v>2</v>
      </c>
      <c r="L7" t="inlineStr">
        <is>
          <t>GB/T 3512-2014</t>
        </is>
      </c>
      <c r="M7" t="inlineStr">
        <is>
          <t>pass_with_source_variant</t>
        </is>
      </c>
      <c r="N7" t="inlineStr">
        <is>
          <t>75 °C 通风老化箱；自动换气每 10 s 一次；0 d 为未暴露对照。源磨损工作簿含 2 d 组，但定稿论文方案未列该组，故保留并标注来源差异。</t>
        </is>
      </c>
    </row>
    <row r="8">
      <c r="A8" t="inlineStr">
        <is>
          <t>AGE-RXQ-0072H</t>
        </is>
      </c>
      <c r="B8" t="n">
        <v>75</v>
      </c>
      <c r="E8" t="n">
        <v>72</v>
      </c>
      <c r="F8" t="inlineStr">
        <is>
          <t>air</t>
        </is>
      </c>
      <c r="G8" t="inlineStr">
        <is>
          <t>automatic_every_10_s</t>
        </is>
      </c>
      <c r="H8" t="inlineStr">
        <is>
          <t>HD-E701</t>
        </is>
      </c>
      <c r="K8" t="n">
        <v>2</v>
      </c>
      <c r="L8" t="inlineStr">
        <is>
          <t>GB/T 3512-2014</t>
        </is>
      </c>
      <c r="M8" t="inlineStr">
        <is>
          <t>pass_with_source_variant</t>
        </is>
      </c>
      <c r="N8" t="inlineStr">
        <is>
          <t>75 °C 通风老化箱；自动换气每 10 s 一次；0 d 为未暴露对照。源磨损工作簿含 2 d 组，但定稿论文方案未列该组，故保留并标注来源差异。</t>
        </is>
      </c>
    </row>
    <row r="9">
      <c r="A9" t="inlineStr">
        <is>
          <t>AGE-RXQ-0168H</t>
        </is>
      </c>
      <c r="B9" t="n">
        <v>75</v>
      </c>
      <c r="E9" t="n">
        <v>168</v>
      </c>
      <c r="F9" t="inlineStr">
        <is>
          <t>air</t>
        </is>
      </c>
      <c r="G9" t="inlineStr">
        <is>
          <t>automatic_every_10_s</t>
        </is>
      </c>
      <c r="H9" t="inlineStr">
        <is>
          <t>HD-E701</t>
        </is>
      </c>
      <c r="K9" t="n">
        <v>2</v>
      </c>
      <c r="L9" t="inlineStr">
        <is>
          <t>GB/T 3512-2014</t>
        </is>
      </c>
      <c r="M9" t="inlineStr">
        <is>
          <t>pass_with_source_variant</t>
        </is>
      </c>
      <c r="N9" t="inlineStr">
        <is>
          <t>75 °C 通风老化箱；自动换气每 10 s 一次；0 d 为未暴露对照。源磨损工作簿含 2 d 组，但定稿论文方案未列该组，故保留并标注来源差异。</t>
        </is>
      </c>
    </row>
    <row r="10">
      <c r="A10" t="inlineStr">
        <is>
          <t>AGE-RXQ-0336H</t>
        </is>
      </c>
      <c r="B10" t="n">
        <v>75</v>
      </c>
      <c r="E10" t="n">
        <v>336</v>
      </c>
      <c r="F10" t="inlineStr">
        <is>
          <t>air</t>
        </is>
      </c>
      <c r="G10" t="inlineStr">
        <is>
          <t>automatic_every_10_s</t>
        </is>
      </c>
      <c r="H10" t="inlineStr">
        <is>
          <t>HD-E701</t>
        </is>
      </c>
      <c r="K10" t="n">
        <v>2</v>
      </c>
      <c r="L10" t="inlineStr">
        <is>
          <t>GB/T 3512-2014</t>
        </is>
      </c>
      <c r="M10" t="inlineStr">
        <is>
          <t>pass_with_source_variant</t>
        </is>
      </c>
      <c r="N10" t="inlineStr">
        <is>
          <t>75 °C 通风老化箱；自动换气每 10 s 一次；0 d 为未暴露对照。源磨损工作簿含 2 d 组，但定稿论文方案未列该组，故保留并标注来源差异。</t>
        </is>
      </c>
    </row>
    <row r="11">
      <c r="A11" t="inlineStr">
        <is>
          <t>AGE-RXQ-0504H</t>
        </is>
      </c>
      <c r="B11" t="n">
        <v>75</v>
      </c>
      <c r="E11" t="n">
        <v>504</v>
      </c>
      <c r="F11" t="inlineStr">
        <is>
          <t>air</t>
        </is>
      </c>
      <c r="G11" t="inlineStr">
        <is>
          <t>automatic_every_10_s</t>
        </is>
      </c>
      <c r="H11" t="inlineStr">
        <is>
          <t>HD-E701</t>
        </is>
      </c>
      <c r="K11" t="n">
        <v>2</v>
      </c>
      <c r="L11" t="inlineStr">
        <is>
          <t>GB/T 3512-2014</t>
        </is>
      </c>
      <c r="M11" t="inlineStr">
        <is>
          <t>pass_with_source_variant</t>
        </is>
      </c>
      <c r="N11" t="inlineStr">
        <is>
          <t>75 °C 通风老化箱；自动换气每 10 s 一次；0 d 为未暴露对照。源磨损工作簿含 2 d 组，但定稿论文方案未列该组，故保留并标注来源差异。</t>
        </is>
      </c>
    </row>
    <row r="12">
      <c r="A12" t="inlineStr">
        <is>
          <t>AGE-RXQ-0672H</t>
        </is>
      </c>
      <c r="B12" t="n">
        <v>75</v>
      </c>
      <c r="E12" t="n">
        <v>672</v>
      </c>
      <c r="F12" t="inlineStr">
        <is>
          <t>air</t>
        </is>
      </c>
      <c r="G12" t="inlineStr">
        <is>
          <t>automatic_every_10_s</t>
        </is>
      </c>
      <c r="H12" t="inlineStr">
        <is>
          <t>HD-E701</t>
        </is>
      </c>
      <c r="K12" t="n">
        <v>2</v>
      </c>
      <c r="L12" t="inlineStr">
        <is>
          <t>GB/T 3512-2014</t>
        </is>
      </c>
      <c r="M12" t="inlineStr">
        <is>
          <t>pass_with_source_variant</t>
        </is>
      </c>
      <c r="N12" t="inlineStr">
        <is>
          <t>75 °C 通风老化箱；自动换气每 10 s 一次；0 d 为未暴露对照。源磨损工作簿含 2 d 组，但定稿论文方案未列该组，故保留并标注来源差异。</t>
        </is>
      </c>
    </row>
    <row r="13">
      <c r="A13" t="inlineStr">
        <is>
          <t>AGE-RXQ-0840H</t>
        </is>
      </c>
      <c r="B13" t="n">
        <v>75</v>
      </c>
      <c r="E13" t="n">
        <v>840</v>
      </c>
      <c r="F13" t="inlineStr">
        <is>
          <t>air</t>
        </is>
      </c>
      <c r="G13" t="inlineStr">
        <is>
          <t>automatic_every_10_s</t>
        </is>
      </c>
      <c r="H13" t="inlineStr">
        <is>
          <t>HD-E701</t>
        </is>
      </c>
      <c r="K13" t="n">
        <v>2</v>
      </c>
      <c r="L13" t="inlineStr">
        <is>
          <t>GB/T 3512-2014</t>
        </is>
      </c>
      <c r="M13" t="inlineStr">
        <is>
          <t>pass_with_source_variant</t>
        </is>
      </c>
      <c r="N13" t="inlineStr">
        <is>
          <t>75 °C 通风老化箱；自动换气每 10 s 一次；0 d 为未暴露对照。源磨损工作簿含 2 d 组，但定稿论文方案未列该组，故保留并标注来源差异。</t>
        </is>
      </c>
    </row>
  </sheetData>
  <mergeCells count="1">
    <mergeCell ref="A1:N2"/>
  </mergeCells>
  <conditionalFormatting sqref="M5:M24">
    <cfRule type="containsText" priority="1" operator="containsText" dxfId="0" text="review"/>
    <cfRule type="containsText" priority="2" operator="containsText" dxfId="1" text="exclude"/>
  </conditionalFormatting>
  <dataValidations count="1">
    <dataValidation sqref="M5:M24" showDropDown="0" showInputMessage="0" showErrorMessage="0" allowBlank="0" type="list">
      <formula1>"pass,review,exclude"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8" customWidth="1" min="22" max="22"/>
    <col width="16" customWidth="1" min="23" max="23"/>
    <col width="26" customWidth="1" min="24" max="24"/>
  </cols>
  <sheetData>
    <row r="1" ht="30" customHeight="1">
      <c r="A1" s="4" t="inlineStr">
        <is>
          <t>滑动摩擦磨损原始记录</t>
        </is>
      </c>
    </row>
    <row r="2" ht="30" customHeight="1"/>
    <row r="4" ht="34" customHeight="1">
      <c r="A4" s="32" t="inlineStr">
        <is>
          <t>record_id</t>
        </is>
      </c>
      <c r="B4" s="32" t="inlineStr">
        <is>
          <t>sample_id</t>
        </is>
      </c>
      <c r="C4" s="32" t="inlineStr">
        <is>
          <t>aging_condition_id</t>
        </is>
      </c>
      <c r="D4" s="32" t="inlineStr">
        <is>
          <t>test_date</t>
        </is>
      </c>
      <c r="E4" s="32" t="inlineStr">
        <is>
          <t>operator_code</t>
        </is>
      </c>
      <c r="F4" s="32" t="inlineStr">
        <is>
          <t>normal_load_N</t>
        </is>
      </c>
      <c r="G4" s="32" t="inlineStr">
        <is>
          <t>sliding_speed_m_s</t>
        </is>
      </c>
      <c r="H4" s="32" t="inlineStr">
        <is>
          <t>duration_s</t>
        </is>
      </c>
      <c r="I4" s="32" t="inlineStr">
        <is>
          <t>sliding_distance_m</t>
        </is>
      </c>
      <c r="J4" s="32" t="inlineStr">
        <is>
          <t>friction_force_mean_N</t>
        </is>
      </c>
      <c r="K4" s="32" t="inlineStr">
        <is>
          <t>friction_coefficient</t>
        </is>
      </c>
      <c r="L4" s="32" t="inlineStr">
        <is>
          <t>mass_before_mg</t>
        </is>
      </c>
      <c r="M4" s="32" t="inlineStr">
        <is>
          <t>mass_after_mg</t>
        </is>
      </c>
      <c r="N4" s="32" t="inlineStr">
        <is>
          <t>mass_loss_mg</t>
        </is>
      </c>
      <c r="O4" s="32" t="inlineStr">
        <is>
          <t>wear_rate_mg_per_Nm</t>
        </is>
      </c>
      <c r="P4" s="32" t="inlineStr">
        <is>
          <t>surface_temp_C</t>
        </is>
      </c>
      <c r="Q4" s="32" t="inlineStr">
        <is>
          <t>ambient_temp_C</t>
        </is>
      </c>
      <c r="R4" s="32" t="inlineStr">
        <is>
          <t>relative_humidity_pct</t>
        </is>
      </c>
      <c r="S4" s="32" t="inlineStr">
        <is>
          <t>counterface_material</t>
        </is>
      </c>
      <c r="T4" s="32" t="inlineStr">
        <is>
          <t>equipment_code</t>
        </is>
      </c>
      <c r="U4" s="32" t="inlineStr">
        <is>
          <t>repetition_no</t>
        </is>
      </c>
      <c r="V4" s="32" t="inlineStr">
        <is>
          <t>source_file</t>
        </is>
      </c>
      <c r="W4" s="32" t="inlineStr">
        <is>
          <t>qc_flag</t>
        </is>
      </c>
      <c r="X4" s="32" t="inlineStr">
        <is>
          <t>notes</t>
        </is>
      </c>
    </row>
    <row r="5">
      <c r="A5" t="inlineStr">
        <is>
          <t>RXQ-WEAR-D000-S15</t>
        </is>
      </c>
      <c r="B5" t="inlineStr">
        <is>
          <t>TIR-RXQ-D000-S15</t>
        </is>
      </c>
      <c r="C5" t="inlineStr">
        <is>
          <t>AGE-RXQ-0000H</t>
        </is>
      </c>
      <c r="E5" t="inlineStr">
        <is>
          <t>ANON-OPERATOR</t>
        </is>
      </c>
      <c r="F5" t="n">
        <v>50</v>
      </c>
      <c r="G5" t="n">
        <v>0.2094393333333333</v>
      </c>
      <c r="H5" t="n">
        <v>6000</v>
      </c>
      <c r="I5" t="n">
        <v>1256.636</v>
      </c>
      <c r="J5" t="n">
        <v>27.12105</v>
      </c>
      <c r="K5" t="n">
        <v>0.542421</v>
      </c>
      <c r="L5" t="n">
        <v>2118.8</v>
      </c>
      <c r="M5" t="n">
        <v>2101</v>
      </c>
      <c r="N5" t="n">
        <v>17.79999999999982</v>
      </c>
      <c r="O5" t="n">
        <v>0.2832960379934972</v>
      </c>
      <c r="P5" t="n">
        <v>79.91674</v>
      </c>
      <c r="Q5" t="n">
        <v>25</v>
      </c>
      <c r="R5" t="n">
        <v>45</v>
      </c>
      <c r="S5" t="inlineStr">
        <is>
          <t>abrasive_wheel_80_mesh</t>
        </is>
      </c>
      <c r="T5" t="inlineStr">
        <is>
          <t>CFT-I</t>
        </is>
      </c>
      <c r="U5" t="n">
        <v>1</v>
      </c>
      <c r="V5" t="inlineStr">
        <is>
          <t>pending_review/rxq_aging_experiments/data/原始数据.xlsx</t>
        </is>
      </c>
      <c r="W5" t="inlineStr">
        <is>
          <t>pass_with_documented_conditions</t>
        </is>
      </c>
      <c r="X5" t="inlineStr">
        <is>
          <t>100 r/min、10000 r、50 N；25±1 °C、45±3% RH；80 目砂轮，2000 目砂纸预处理；硬度均值 71.560→63.780 HA。</t>
        </is>
      </c>
    </row>
    <row r="6">
      <c r="A6" t="inlineStr">
        <is>
          <t>RXQ-WEAR-D000-S16</t>
        </is>
      </c>
      <c r="B6" t="inlineStr">
        <is>
          <t>TIR-RXQ-D000-S16</t>
        </is>
      </c>
      <c r="C6" t="inlineStr">
        <is>
          <t>AGE-RXQ-0000H</t>
        </is>
      </c>
      <c r="E6" t="inlineStr">
        <is>
          <t>ANON-OPERATOR</t>
        </is>
      </c>
      <c r="F6" t="n">
        <v>50</v>
      </c>
      <c r="G6" t="n">
        <v>0.2094393333333333</v>
      </c>
      <c r="H6" t="n">
        <v>6000</v>
      </c>
      <c r="I6" t="n">
        <v>1256.636</v>
      </c>
      <c r="J6" t="n">
        <v>22.54705</v>
      </c>
      <c r="K6" t="n">
        <v>0.450941</v>
      </c>
      <c r="L6" t="n">
        <v>3291</v>
      </c>
      <c r="M6" t="n">
        <v>3263.2</v>
      </c>
      <c r="N6" t="n">
        <v>27.80000000000005</v>
      </c>
      <c r="O6" t="n">
        <v>0.4424511155179391</v>
      </c>
      <c r="P6" t="n">
        <v>63.32903</v>
      </c>
      <c r="Q6" t="n">
        <v>25</v>
      </c>
      <c r="R6" t="n">
        <v>45</v>
      </c>
      <c r="S6" t="inlineStr">
        <is>
          <t>abrasive_wheel_80_mesh</t>
        </is>
      </c>
      <c r="T6" t="inlineStr">
        <is>
          <t>CFT-I</t>
        </is>
      </c>
      <c r="U6" t="n">
        <v>2</v>
      </c>
      <c r="V6" t="inlineStr">
        <is>
          <t>pending_review/rxq_aging_experiments/data/原始数据.xlsx</t>
        </is>
      </c>
      <c r="W6" t="inlineStr">
        <is>
          <t>pass_with_documented_conditions</t>
        </is>
      </c>
      <c r="X6" t="inlineStr">
        <is>
          <t>100 r/min、10000 r、50 N；25±1 °C、45±3% RH；80 目砂轮，2000 目砂纸预处理；硬度均值 71.460→60.060 HA。</t>
        </is>
      </c>
    </row>
    <row r="7">
      <c r="A7" t="inlineStr">
        <is>
          <t>RXQ-WEAR-D001-S17</t>
        </is>
      </c>
      <c r="B7" t="inlineStr">
        <is>
          <t>TIR-RXQ-D001-S17</t>
        </is>
      </c>
      <c r="C7" t="inlineStr">
        <is>
          <t>AGE-RXQ-0024H</t>
        </is>
      </c>
      <c r="E7" t="inlineStr">
        <is>
          <t>ANON-OPERATOR</t>
        </is>
      </c>
      <c r="F7" t="n">
        <v>50</v>
      </c>
      <c r="G7" t="n">
        <v>0.2094393333333333</v>
      </c>
      <c r="H7" t="n">
        <v>6000</v>
      </c>
      <c r="I7" t="n">
        <v>1256.636</v>
      </c>
      <c r="J7" t="n">
        <v>24.2767</v>
      </c>
      <c r="K7" t="n">
        <v>0.485534</v>
      </c>
      <c r="L7" t="n">
        <v>2124.6</v>
      </c>
      <c r="M7" t="n">
        <v>2102.6</v>
      </c>
      <c r="N7" t="n">
        <v>22.00000000000024</v>
      </c>
      <c r="O7" t="n">
        <v>0.350141170553768</v>
      </c>
      <c r="P7" t="n">
        <v>74.17528</v>
      </c>
      <c r="Q7" t="n">
        <v>25</v>
      </c>
      <c r="R7" t="n">
        <v>45</v>
      </c>
      <c r="S7" t="inlineStr">
        <is>
          <t>abrasive_wheel_80_mesh</t>
        </is>
      </c>
      <c r="T7" t="inlineStr">
        <is>
          <t>CFT-I</t>
        </is>
      </c>
      <c r="U7" t="n">
        <v>1</v>
      </c>
      <c r="V7" t="inlineStr">
        <is>
          <t>pending_review/rxq_aging_experiments/data/原始数据.xlsx</t>
        </is>
      </c>
      <c r="W7" t="inlineStr">
        <is>
          <t>pass_with_documented_conditions</t>
        </is>
      </c>
      <c r="X7" t="inlineStr">
        <is>
          <t>100 r/min、10000 r、50 N；25±1 °C、45±3% RH；80 目砂轮，2000 目砂纸预处理；硬度均值 70.680→59.680 HA。</t>
        </is>
      </c>
    </row>
    <row r="8">
      <c r="A8" t="inlineStr">
        <is>
          <t>RXQ-WEAR-D001-S18</t>
        </is>
      </c>
      <c r="B8" t="inlineStr">
        <is>
          <t>TIR-RXQ-D001-S18</t>
        </is>
      </c>
      <c r="C8" t="inlineStr">
        <is>
          <t>AGE-RXQ-0024H</t>
        </is>
      </c>
      <c r="E8" t="inlineStr">
        <is>
          <t>ANON-OPERATOR</t>
        </is>
      </c>
      <c r="F8" t="n">
        <v>50</v>
      </c>
      <c r="G8" t="n">
        <v>0.2094393333333333</v>
      </c>
      <c r="H8" t="n">
        <v>6000</v>
      </c>
      <c r="I8" t="n">
        <v>1256.636</v>
      </c>
      <c r="J8" t="n">
        <v>22.9887</v>
      </c>
      <c r="K8" t="n">
        <v>0.459774</v>
      </c>
      <c r="L8" t="n">
        <v>3350.6</v>
      </c>
      <c r="M8" t="n">
        <v>3335</v>
      </c>
      <c r="N8" t="n">
        <v>15.60000000000006</v>
      </c>
      <c r="O8" t="n">
        <v>0.2482819209381246</v>
      </c>
      <c r="P8" t="n">
        <v>76.5737</v>
      </c>
      <c r="Q8" t="n">
        <v>25</v>
      </c>
      <c r="R8" t="n">
        <v>45</v>
      </c>
      <c r="S8" t="inlineStr">
        <is>
          <t>abrasive_wheel_80_mesh</t>
        </is>
      </c>
      <c r="T8" t="inlineStr">
        <is>
          <t>CFT-I</t>
        </is>
      </c>
      <c r="U8" t="n">
        <v>2</v>
      </c>
      <c r="V8" t="inlineStr">
        <is>
          <t>pending_review/rxq_aging_experiments/data/原始数据.xlsx</t>
        </is>
      </c>
      <c r="W8" t="inlineStr">
        <is>
          <t>pass_with_documented_conditions</t>
        </is>
      </c>
      <c r="X8" t="inlineStr">
        <is>
          <t>100 r/min、10000 r、50 N；25±1 °C、45±3% RH；80 目砂轮，2000 目砂纸预处理；硬度均值 72.520→65.140 HA。</t>
        </is>
      </c>
    </row>
    <row r="9">
      <c r="A9" t="inlineStr">
        <is>
          <t>RXQ-WEAR-D002-S21</t>
        </is>
      </c>
      <c r="B9" t="inlineStr">
        <is>
          <t>TIR-RXQ-D002-S21</t>
        </is>
      </c>
      <c r="C9" t="inlineStr">
        <is>
          <t>AGE-RXQ-0048H</t>
        </is>
      </c>
      <c r="E9" t="inlineStr">
        <is>
          <t>ANON-OPERATOR</t>
        </is>
      </c>
      <c r="F9" t="n">
        <v>50</v>
      </c>
      <c r="G9" t="n">
        <v>0.2094393333333333</v>
      </c>
      <c r="H9" t="n">
        <v>6000</v>
      </c>
      <c r="I9" t="n">
        <v>1256.636</v>
      </c>
      <c r="J9" t="n">
        <v>24.362</v>
      </c>
      <c r="K9" t="n">
        <v>0.48724</v>
      </c>
      <c r="L9" t="n">
        <v>2102</v>
      </c>
      <c r="M9" t="n">
        <v>2081.2</v>
      </c>
      <c r="N9" t="n">
        <v>20.79999999999993</v>
      </c>
      <c r="O9" t="n">
        <v>0.3310425612508305</v>
      </c>
      <c r="P9" t="n">
        <v>75.39103</v>
      </c>
      <c r="Q9" t="n">
        <v>25</v>
      </c>
      <c r="R9" t="n">
        <v>45</v>
      </c>
      <c r="S9" t="inlineStr">
        <is>
          <t>abrasive_wheel_80_mesh</t>
        </is>
      </c>
      <c r="T9" t="inlineStr">
        <is>
          <t>CFT-I</t>
        </is>
      </c>
      <c r="U9" t="n">
        <v>1</v>
      </c>
      <c r="V9" t="inlineStr">
        <is>
          <t>pending_review/rxq_aging_experiments/data/原始数据.xlsx</t>
        </is>
      </c>
      <c r="W9" t="inlineStr">
        <is>
          <t>pass_with_documented_conditions</t>
        </is>
      </c>
      <c r="X9" t="inlineStr">
        <is>
          <t>100 r/min、10000 r、50 N；25±1 °C、45±3% RH；80 目砂轮，2000 目砂纸预处理；硬度均值 72.120→60.260 HA。</t>
        </is>
      </c>
    </row>
    <row r="10">
      <c r="A10" t="inlineStr">
        <is>
          <t>RXQ-WEAR-D002-S22</t>
        </is>
      </c>
      <c r="B10" t="inlineStr">
        <is>
          <t>TIR-RXQ-D002-S22</t>
        </is>
      </c>
      <c r="C10" t="inlineStr">
        <is>
          <t>AGE-RXQ-0048H</t>
        </is>
      </c>
      <c r="E10" t="inlineStr">
        <is>
          <t>ANON-OPERATOR</t>
        </is>
      </c>
      <c r="F10" t="n">
        <v>50</v>
      </c>
      <c r="G10" t="n">
        <v>0.2094393333333333</v>
      </c>
      <c r="H10" t="n">
        <v>6000</v>
      </c>
      <c r="I10" t="n">
        <v>1256.636</v>
      </c>
      <c r="J10" t="n">
        <v>24.8735</v>
      </c>
      <c r="K10" t="n">
        <v>0.49747</v>
      </c>
      <c r="L10" t="n">
        <v>2120.6</v>
      </c>
      <c r="M10" t="n">
        <v>2095</v>
      </c>
      <c r="N10" t="n">
        <v>25.59999999999985</v>
      </c>
      <c r="O10" t="n">
        <v>0.4074369984625595</v>
      </c>
      <c r="P10" t="n">
        <v>80.13497</v>
      </c>
      <c r="Q10" t="n">
        <v>25</v>
      </c>
      <c r="R10" t="n">
        <v>45</v>
      </c>
      <c r="S10" t="inlineStr">
        <is>
          <t>abrasive_wheel_80_mesh</t>
        </is>
      </c>
      <c r="T10" t="inlineStr">
        <is>
          <t>CFT-I</t>
        </is>
      </c>
      <c r="U10" t="n">
        <v>2</v>
      </c>
      <c r="V10" t="inlineStr">
        <is>
          <t>pending_review/rxq_aging_experiments/data/原始数据.xlsx</t>
        </is>
      </c>
      <c r="W10" t="inlineStr">
        <is>
          <t>pass_with_documented_conditions</t>
        </is>
      </c>
      <c r="X10" t="inlineStr">
        <is>
          <t>100 r/min、10000 r、50 N；25±1 °C、45±3% RH；80 目砂轮，2000 目砂纸预处理；硬度均值 72.360→62.960 HA。</t>
        </is>
      </c>
    </row>
    <row r="11">
      <c r="A11" t="inlineStr">
        <is>
          <t>RXQ-WEAR-D003-S26</t>
        </is>
      </c>
      <c r="B11" t="inlineStr">
        <is>
          <t>TIR-RXQ-D003-S26</t>
        </is>
      </c>
      <c r="C11" t="inlineStr">
        <is>
          <t>AGE-RXQ-0072H</t>
        </is>
      </c>
      <c r="E11" t="inlineStr">
        <is>
          <t>ANON-OPERATOR</t>
        </is>
      </c>
      <c r="F11" t="n">
        <v>50</v>
      </c>
      <c r="G11" t="n">
        <v>0.2094393333333333</v>
      </c>
      <c r="H11" t="n">
        <v>6000</v>
      </c>
      <c r="I11" t="n">
        <v>1256.636</v>
      </c>
      <c r="J11" t="n">
        <v>25.86815</v>
      </c>
      <c r="K11" t="n">
        <v>0.517363</v>
      </c>
      <c r="L11" t="n">
        <v>2083.8</v>
      </c>
      <c r="M11" t="n">
        <v>2066</v>
      </c>
      <c r="N11" t="n">
        <v>17.80000000000026</v>
      </c>
      <c r="O11" t="n">
        <v>0.2832960379935042</v>
      </c>
      <c r="P11" t="n">
        <v>84.29761999999999</v>
      </c>
      <c r="Q11" t="n">
        <v>25</v>
      </c>
      <c r="R11" t="n">
        <v>45</v>
      </c>
      <c r="S11" t="inlineStr">
        <is>
          <t>abrasive_wheel_80_mesh</t>
        </is>
      </c>
      <c r="T11" t="inlineStr">
        <is>
          <t>CFT-I</t>
        </is>
      </c>
      <c r="U11" t="n">
        <v>1</v>
      </c>
      <c r="V11" t="inlineStr">
        <is>
          <t>pending_review/rxq_aging_experiments/data/原始数据.xlsx</t>
        </is>
      </c>
      <c r="W11" t="inlineStr">
        <is>
          <t>pass_with_documented_conditions</t>
        </is>
      </c>
      <c r="X11" t="inlineStr">
        <is>
          <t>100 r/min、10000 r、50 N；25±1 °C、45±3% RH；80 目砂轮，2000 目砂纸预处理；硬度均值 72.920→66.660 HA。</t>
        </is>
      </c>
    </row>
    <row r="12">
      <c r="A12" t="inlineStr">
        <is>
          <t>RXQ-WEAR-D003-S28</t>
        </is>
      </c>
      <c r="B12" t="inlineStr">
        <is>
          <t>TIR-RXQ-D003-S28</t>
        </is>
      </c>
      <c r="C12" t="inlineStr">
        <is>
          <t>AGE-RXQ-0072H</t>
        </is>
      </c>
      <c r="E12" t="inlineStr">
        <is>
          <t>ANON-OPERATOR</t>
        </is>
      </c>
      <c r="F12" t="n">
        <v>50</v>
      </c>
      <c r="G12" t="n">
        <v>0.2094393333333333</v>
      </c>
      <c r="H12" t="n">
        <v>6000</v>
      </c>
      <c r="I12" t="n">
        <v>1256.636</v>
      </c>
      <c r="J12" t="n">
        <v>23.24705</v>
      </c>
      <c r="K12" t="n">
        <v>0.464941</v>
      </c>
      <c r="L12" t="n">
        <v>2108.2</v>
      </c>
      <c r="M12" t="n">
        <v>2078</v>
      </c>
      <c r="N12" t="n">
        <v>30.20000000000023</v>
      </c>
      <c r="O12" t="n">
        <v>0.4806483341238072</v>
      </c>
      <c r="P12" t="n">
        <v>75.92598</v>
      </c>
      <c r="Q12" t="n">
        <v>25</v>
      </c>
      <c r="R12" t="n">
        <v>45</v>
      </c>
      <c r="S12" t="inlineStr">
        <is>
          <t>abrasive_wheel_80_mesh</t>
        </is>
      </c>
      <c r="T12" t="inlineStr">
        <is>
          <t>CFT-I</t>
        </is>
      </c>
      <c r="U12" t="n">
        <v>2</v>
      </c>
      <c r="V12" t="inlineStr">
        <is>
          <t>pending_review/rxq_aging_experiments/data/原始数据.xlsx</t>
        </is>
      </c>
      <c r="W12" t="inlineStr">
        <is>
          <t>pass_with_documented_conditions</t>
        </is>
      </c>
      <c r="X12" t="inlineStr">
        <is>
          <t>100 r/min、10000 r、50 N；25±1 °C、45±3% RH；80 目砂轮，2000 目砂纸预处理；硬度均值 72.900→62.040 HA。</t>
        </is>
      </c>
    </row>
    <row r="13">
      <c r="A13" t="inlineStr">
        <is>
          <t>RXQ-WEAR-D007-S3</t>
        </is>
      </c>
      <c r="B13" t="inlineStr">
        <is>
          <t>TIR-RXQ-D007-S3</t>
        </is>
      </c>
      <c r="C13" t="inlineStr">
        <is>
          <t>AGE-RXQ-0168H</t>
        </is>
      </c>
      <c r="E13" t="inlineStr">
        <is>
          <t>ANON-OPERATOR</t>
        </is>
      </c>
      <c r="F13" t="n">
        <v>50</v>
      </c>
      <c r="G13" t="n">
        <v>0.2094393333333333</v>
      </c>
      <c r="H13" t="n">
        <v>6000</v>
      </c>
      <c r="I13" t="n">
        <v>1256.636</v>
      </c>
      <c r="J13" t="n">
        <v>24.04625</v>
      </c>
      <c r="K13" t="n">
        <v>0.480925</v>
      </c>
      <c r="L13" t="n">
        <v>2111.6</v>
      </c>
      <c r="M13" t="n">
        <v>2079</v>
      </c>
      <c r="N13" t="n">
        <v>32.59999999999997</v>
      </c>
      <c r="O13" t="n">
        <v>0.5188455527296681</v>
      </c>
      <c r="P13" t="n">
        <v>73.40564000000001</v>
      </c>
      <c r="Q13" t="n">
        <v>25</v>
      </c>
      <c r="R13" t="n">
        <v>45</v>
      </c>
      <c r="S13" t="inlineStr">
        <is>
          <t>abrasive_wheel_80_mesh</t>
        </is>
      </c>
      <c r="T13" t="inlineStr">
        <is>
          <t>CFT-I</t>
        </is>
      </c>
      <c r="U13" t="n">
        <v>1</v>
      </c>
      <c r="V13" t="inlineStr">
        <is>
          <t>pending_review/rxq_aging_experiments/data/原始数据.xlsx</t>
        </is>
      </c>
      <c r="W13" t="inlineStr">
        <is>
          <t>pass_with_documented_conditions</t>
        </is>
      </c>
      <c r="X13" t="inlineStr">
        <is>
          <t>100 r/min、10000 r、50 N；25±1 °C、45±3% RH；80 目砂轮，2000 目砂纸预处理；硬度均值 75.120→62.400 HA。</t>
        </is>
      </c>
    </row>
    <row r="14">
      <c r="A14" t="inlineStr">
        <is>
          <t>RXQ-WEAR-D007-S5</t>
        </is>
      </c>
      <c r="B14" t="inlineStr">
        <is>
          <t>TIR-RXQ-D007-S5</t>
        </is>
      </c>
      <c r="C14" t="inlineStr">
        <is>
          <t>AGE-RXQ-0168H</t>
        </is>
      </c>
      <c r="E14" t="inlineStr">
        <is>
          <t>ANON-OPERATOR</t>
        </is>
      </c>
      <c r="F14" t="n">
        <v>50</v>
      </c>
      <c r="G14" t="n">
        <v>0.2094393333333333</v>
      </c>
      <c r="H14" t="n">
        <v>6000</v>
      </c>
      <c r="I14" t="n">
        <v>1256.636</v>
      </c>
      <c r="J14" t="n">
        <v>23.23125</v>
      </c>
      <c r="K14" t="n">
        <v>0.464625</v>
      </c>
      <c r="L14" t="n">
        <v>3244.2</v>
      </c>
      <c r="M14" t="n">
        <v>3217.6</v>
      </c>
      <c r="N14" t="n">
        <v>26.60000000000018</v>
      </c>
      <c r="O14" t="n">
        <v>0.4233525062150086</v>
      </c>
      <c r="P14" t="n">
        <v>74.73690000000001</v>
      </c>
      <c r="Q14" t="n">
        <v>25</v>
      </c>
      <c r="R14" t="n">
        <v>45</v>
      </c>
      <c r="S14" t="inlineStr">
        <is>
          <t>abrasive_wheel_80_mesh</t>
        </is>
      </c>
      <c r="T14" t="inlineStr">
        <is>
          <t>CFT-I</t>
        </is>
      </c>
      <c r="U14" t="n">
        <v>2</v>
      </c>
      <c r="V14" t="inlineStr">
        <is>
          <t>pending_review/rxq_aging_experiments/data/原始数据.xlsx</t>
        </is>
      </c>
      <c r="W14" t="inlineStr">
        <is>
          <t>pass_with_documented_conditions</t>
        </is>
      </c>
      <c r="X14" t="inlineStr">
        <is>
          <t>100 r/min、10000 r、50 N；25±1 °C、45±3% RH；80 目砂轮，2000 目砂纸预处理；硬度均值 75.600→67.440 HA。</t>
        </is>
      </c>
    </row>
    <row r="15">
      <c r="A15" t="inlineStr">
        <is>
          <t>RXQ-WEAR-D014-S41</t>
        </is>
      </c>
      <c r="B15" t="inlineStr">
        <is>
          <t>TIR-RXQ-D014-S41</t>
        </is>
      </c>
      <c r="C15" t="inlineStr">
        <is>
          <t>AGE-RXQ-0336H</t>
        </is>
      </c>
      <c r="E15" t="inlineStr">
        <is>
          <t>ANON-OPERATOR</t>
        </is>
      </c>
      <c r="F15" t="n">
        <v>50</v>
      </c>
      <c r="G15" t="n">
        <v>0.2094393333333333</v>
      </c>
      <c r="H15" t="n">
        <v>6000</v>
      </c>
      <c r="I15" t="n">
        <v>1256.636</v>
      </c>
      <c r="J15" t="n">
        <v>24.86795</v>
      </c>
      <c r="K15" t="n">
        <v>0.497359</v>
      </c>
      <c r="L15" t="n">
        <v>2081.6</v>
      </c>
      <c r="M15" t="n">
        <v>2059</v>
      </c>
      <c r="N15" t="n">
        <v>22.59999999999973</v>
      </c>
      <c r="O15" t="n">
        <v>0.3596904752052262</v>
      </c>
      <c r="P15" t="n">
        <v>76.62627999999999</v>
      </c>
      <c r="Q15" t="n">
        <v>25</v>
      </c>
      <c r="R15" t="n">
        <v>45</v>
      </c>
      <c r="S15" t="inlineStr">
        <is>
          <t>abrasive_wheel_80_mesh</t>
        </is>
      </c>
      <c r="T15" t="inlineStr">
        <is>
          <t>CFT-I</t>
        </is>
      </c>
      <c r="U15" t="n">
        <v>1</v>
      </c>
      <c r="V15" t="inlineStr">
        <is>
          <t>pending_review/rxq_aging_experiments/data/原始数据.xlsx</t>
        </is>
      </c>
      <c r="W15" t="inlineStr">
        <is>
          <t>pass_with_documented_conditions</t>
        </is>
      </c>
      <c r="X15" t="inlineStr">
        <is>
          <t>100 r/min、10000 r、50 N；25±1 °C、45±3% RH；80 目砂轮，2000 目砂纸预处理；硬度均值 77.120→66.900 HA。</t>
        </is>
      </c>
    </row>
    <row r="16">
      <c r="A16" t="inlineStr">
        <is>
          <t>RXQ-WEAR-D014-S42</t>
        </is>
      </c>
      <c r="B16" t="inlineStr">
        <is>
          <t>TIR-RXQ-D014-S42</t>
        </is>
      </c>
      <c r="C16" t="inlineStr">
        <is>
          <t>AGE-RXQ-0336H</t>
        </is>
      </c>
      <c r="E16" t="inlineStr">
        <is>
          <t>ANON-OPERATOR</t>
        </is>
      </c>
      <c r="F16" t="n">
        <v>50</v>
      </c>
      <c r="G16" t="n">
        <v>0.2094393333333333</v>
      </c>
      <c r="H16" t="n">
        <v>6000</v>
      </c>
      <c r="I16" t="n">
        <v>1256.636</v>
      </c>
      <c r="J16" t="n">
        <v>22.5116</v>
      </c>
      <c r="K16" t="n">
        <v>0.450232</v>
      </c>
      <c r="L16" t="n">
        <v>3291.2</v>
      </c>
      <c r="M16" t="n">
        <v>3280.6</v>
      </c>
      <c r="N16" t="n">
        <v>10.59999999999972</v>
      </c>
      <c r="O16" t="n">
        <v>0.1687043821759001</v>
      </c>
      <c r="P16" t="n">
        <v>69.57641</v>
      </c>
      <c r="Q16" t="n">
        <v>25</v>
      </c>
      <c r="R16" t="n">
        <v>45</v>
      </c>
      <c r="S16" t="inlineStr">
        <is>
          <t>abrasive_wheel_80_mesh</t>
        </is>
      </c>
      <c r="T16" t="inlineStr">
        <is>
          <t>CFT-I</t>
        </is>
      </c>
      <c r="U16" t="n">
        <v>2</v>
      </c>
      <c r="V16" t="inlineStr">
        <is>
          <t>pending_review/rxq_aging_experiments/data/原始数据.xlsx</t>
        </is>
      </c>
      <c r="W16" t="inlineStr">
        <is>
          <t>pass_with_documented_conditions</t>
        </is>
      </c>
      <c r="X16" t="inlineStr">
        <is>
          <t>100 r/min、10000 r、50 N；25±1 °C、45±3% RH；80 目砂轮，2000 目砂纸预处理；硬度均值 77.160→67.400 HA。</t>
        </is>
      </c>
    </row>
    <row r="17">
      <c r="A17" t="inlineStr">
        <is>
          <t>RXQ-WEAR-D021-S53</t>
        </is>
      </c>
      <c r="B17" t="inlineStr">
        <is>
          <t>TIR-RXQ-D021-S53</t>
        </is>
      </c>
      <c r="C17" t="inlineStr">
        <is>
          <t>AGE-RXQ-0504H</t>
        </is>
      </c>
      <c r="E17" t="inlineStr">
        <is>
          <t>ANON-OPERATOR</t>
        </is>
      </c>
      <c r="F17" t="n">
        <v>50</v>
      </c>
      <c r="G17" t="n">
        <v>0.2094393333333333</v>
      </c>
      <c r="H17" t="n">
        <v>6000</v>
      </c>
      <c r="I17" t="n">
        <v>1256.636</v>
      </c>
      <c r="J17" t="n">
        <v>24.0138</v>
      </c>
      <c r="K17" t="n">
        <v>0.480276</v>
      </c>
      <c r="L17" t="n">
        <v>2103</v>
      </c>
      <c r="M17" t="n">
        <v>2094.8</v>
      </c>
      <c r="N17" t="n">
        <v>8.199999999999985</v>
      </c>
      <c r="O17" t="n">
        <v>0.1305071635700392</v>
      </c>
      <c r="P17" t="n">
        <v>78.85325</v>
      </c>
      <c r="Q17" t="n">
        <v>25</v>
      </c>
      <c r="R17" t="n">
        <v>45</v>
      </c>
      <c r="S17" t="inlineStr">
        <is>
          <t>abrasive_wheel_80_mesh</t>
        </is>
      </c>
      <c r="T17" t="inlineStr">
        <is>
          <t>CFT-I</t>
        </is>
      </c>
      <c r="U17" t="n">
        <v>1</v>
      </c>
      <c r="V17" t="inlineStr">
        <is>
          <t>pending_review/rxq_aging_experiments/data/原始数据.xlsx</t>
        </is>
      </c>
      <c r="W17" t="inlineStr">
        <is>
          <t>pass_with_documented_conditions</t>
        </is>
      </c>
      <c r="X17" t="inlineStr">
        <is>
          <t>100 r/min、10000 r、50 N；25±1 °C、45±3% RH；80 目砂轮，2000 目砂纸预处理；硬度均值 78.200→70.120 HA。</t>
        </is>
      </c>
    </row>
    <row r="18">
      <c r="A18" t="inlineStr">
        <is>
          <t>RXQ-WEAR-D021-S57</t>
        </is>
      </c>
      <c r="B18" t="inlineStr">
        <is>
          <t>TIR-RXQ-D021-S57</t>
        </is>
      </c>
      <c r="C18" t="inlineStr">
        <is>
          <t>AGE-RXQ-0504H</t>
        </is>
      </c>
      <c r="E18" t="inlineStr">
        <is>
          <t>ANON-OPERATOR</t>
        </is>
      </c>
      <c r="F18" t="n">
        <v>50</v>
      </c>
      <c r="G18" t="n">
        <v>0.2094393333333333</v>
      </c>
      <c r="H18" t="n">
        <v>6000</v>
      </c>
      <c r="I18" t="n">
        <v>1256.636</v>
      </c>
      <c r="J18" t="n">
        <v>23.1738</v>
      </c>
      <c r="K18" t="n">
        <v>0.463476</v>
      </c>
      <c r="L18" t="n">
        <v>3321</v>
      </c>
      <c r="M18" t="n">
        <v>3311</v>
      </c>
      <c r="N18" t="n">
        <v>10.00000000000023</v>
      </c>
      <c r="O18" t="n">
        <v>0.1591550775244419</v>
      </c>
      <c r="P18" t="n">
        <v>70.34245</v>
      </c>
      <c r="Q18" t="n">
        <v>25</v>
      </c>
      <c r="R18" t="n">
        <v>45</v>
      </c>
      <c r="S18" t="inlineStr">
        <is>
          <t>abrasive_wheel_80_mesh</t>
        </is>
      </c>
      <c r="T18" t="inlineStr">
        <is>
          <t>CFT-I</t>
        </is>
      </c>
      <c r="U18" t="n">
        <v>2</v>
      </c>
      <c r="V18" t="inlineStr">
        <is>
          <t>pending_review/rxq_aging_experiments/data/原始数据.xlsx</t>
        </is>
      </c>
      <c r="W18" t="inlineStr">
        <is>
          <t>pass_with_documented_conditions</t>
        </is>
      </c>
      <c r="X18" t="inlineStr">
        <is>
          <t>100 r/min、10000 r、50 N；25±1 °C、45±3% RH；80 目砂轮，2000 目砂纸预处理；硬度均值 78.040→69.100 HA。</t>
        </is>
      </c>
    </row>
    <row r="19">
      <c r="A19" t="inlineStr">
        <is>
          <t>RXQ-WEAR-D028-S62</t>
        </is>
      </c>
      <c r="B19" t="inlineStr">
        <is>
          <t>TIR-RXQ-D028-S62</t>
        </is>
      </c>
      <c r="C19" t="inlineStr">
        <is>
          <t>AGE-RXQ-0672H</t>
        </is>
      </c>
      <c r="E19" t="inlineStr">
        <is>
          <t>ANON-OPERATOR</t>
        </is>
      </c>
      <c r="F19" t="n">
        <v>50</v>
      </c>
      <c r="G19" t="n">
        <v>0.2094393333333333</v>
      </c>
      <c r="H19" t="n">
        <v>6000</v>
      </c>
      <c r="I19" t="n">
        <v>1256.636</v>
      </c>
      <c r="J19" t="n">
        <v>24.0559</v>
      </c>
      <c r="K19" t="n">
        <v>0.481118</v>
      </c>
      <c r="L19" t="n">
        <v>2074.6</v>
      </c>
      <c r="M19" t="n">
        <v>2067</v>
      </c>
      <c r="N19" t="n">
        <v>7.600000000000051</v>
      </c>
      <c r="O19" t="n">
        <v>0.1209578589185739</v>
      </c>
      <c r="P19" t="n">
        <v>73.78951000000001</v>
      </c>
      <c r="Q19" t="n">
        <v>25</v>
      </c>
      <c r="R19" t="n">
        <v>45</v>
      </c>
      <c r="S19" t="inlineStr">
        <is>
          <t>abrasive_wheel_80_mesh</t>
        </is>
      </c>
      <c r="T19" t="inlineStr">
        <is>
          <t>CFT-I</t>
        </is>
      </c>
      <c r="U19" t="n">
        <v>1</v>
      </c>
      <c r="V19" t="inlineStr">
        <is>
          <t>pending_review/rxq_aging_experiments/data/原始数据.xlsx</t>
        </is>
      </c>
      <c r="W19" t="inlineStr">
        <is>
          <t>pass_with_documented_conditions</t>
        </is>
      </c>
      <c r="X19" t="inlineStr">
        <is>
          <t>100 r/min、10000 r、50 N；25±1 °C、45±3% RH；80 目砂轮，2000 目砂纸预处理；硬度均值 77.600→72.680 HA。</t>
        </is>
      </c>
    </row>
    <row r="20">
      <c r="A20" t="inlineStr">
        <is>
          <t>RXQ-WEAR-D028-S63</t>
        </is>
      </c>
      <c r="B20" t="inlineStr">
        <is>
          <t>TIR-RXQ-D028-S63</t>
        </is>
      </c>
      <c r="C20" t="inlineStr">
        <is>
          <t>AGE-RXQ-0672H</t>
        </is>
      </c>
      <c r="E20" t="inlineStr">
        <is>
          <t>ANON-OPERATOR</t>
        </is>
      </c>
      <c r="F20" t="n">
        <v>50</v>
      </c>
      <c r="G20" t="n">
        <v>0.2094393333333333</v>
      </c>
      <c r="H20" t="n">
        <v>6000</v>
      </c>
      <c r="I20" t="n">
        <v>1256.636</v>
      </c>
      <c r="J20" t="n">
        <v>22.73485</v>
      </c>
      <c r="K20" t="n">
        <v>0.454697</v>
      </c>
      <c r="L20" t="n">
        <v>3306.2</v>
      </c>
      <c r="M20" t="n">
        <v>3299.8</v>
      </c>
      <c r="N20" t="n">
        <v>6.400000000000183</v>
      </c>
      <c r="O20" t="n">
        <v>0.1018592496156434</v>
      </c>
      <c r="P20" t="n">
        <v>69.56326</v>
      </c>
      <c r="Q20" t="n">
        <v>25</v>
      </c>
      <c r="R20" t="n">
        <v>45</v>
      </c>
      <c r="S20" t="inlineStr">
        <is>
          <t>abrasive_wheel_80_mesh</t>
        </is>
      </c>
      <c r="T20" t="inlineStr">
        <is>
          <t>CFT-I</t>
        </is>
      </c>
      <c r="U20" t="n">
        <v>2</v>
      </c>
      <c r="V20" t="inlineStr">
        <is>
          <t>pending_review/rxq_aging_experiments/data/原始数据.xlsx</t>
        </is>
      </c>
      <c r="W20" t="inlineStr">
        <is>
          <t>pass_with_documented_conditions</t>
        </is>
      </c>
      <c r="X20" t="inlineStr">
        <is>
          <t>100 r/min、10000 r、50 N；25±1 °C、45±3% RH；80 目砂轮，2000 目砂纸预处理；硬度均值 78.880→70.860 HA。</t>
        </is>
      </c>
    </row>
    <row r="21">
      <c r="A21" t="inlineStr">
        <is>
          <t>RXQ-WEAR-D035-S80</t>
        </is>
      </c>
      <c r="B21" t="inlineStr">
        <is>
          <t>TIR-RXQ-D035-S80</t>
        </is>
      </c>
      <c r="C21" t="inlineStr">
        <is>
          <t>AGE-RXQ-0840H</t>
        </is>
      </c>
      <c r="E21" t="inlineStr">
        <is>
          <t>ANON-OPERATOR</t>
        </is>
      </c>
      <c r="F21" t="n">
        <v>50</v>
      </c>
      <c r="G21" t="n">
        <v>0.2094393333333333</v>
      </c>
      <c r="H21" t="n">
        <v>6000</v>
      </c>
      <c r="I21" t="n">
        <v>1256.636</v>
      </c>
      <c r="J21" t="n">
        <v>22.9149</v>
      </c>
      <c r="K21" t="n">
        <v>0.458298</v>
      </c>
      <c r="L21" t="n">
        <v>3312</v>
      </c>
      <c r="M21" t="n">
        <v>3301.2</v>
      </c>
      <c r="N21" t="n">
        <v>10.7999999999997</v>
      </c>
      <c r="O21" t="n">
        <v>0.1718874837263885</v>
      </c>
      <c r="P21" t="n">
        <v>73.25613</v>
      </c>
      <c r="Q21" t="n">
        <v>25</v>
      </c>
      <c r="R21" t="n">
        <v>45</v>
      </c>
      <c r="S21" t="inlineStr">
        <is>
          <t>abrasive_wheel_80_mesh</t>
        </is>
      </c>
      <c r="T21" t="inlineStr">
        <is>
          <t>CFT-I</t>
        </is>
      </c>
      <c r="U21" t="n">
        <v>1</v>
      </c>
      <c r="V21" t="inlineStr">
        <is>
          <t>pending_review/rxq_aging_experiments/data/原始数据.xlsx</t>
        </is>
      </c>
      <c r="W21" t="inlineStr">
        <is>
          <t>pass_with_documented_conditions</t>
        </is>
      </c>
      <c r="X21" t="inlineStr">
        <is>
          <t>100 r/min、10000 r、50 N；25±1 °C、45±3% RH；80 目砂轮，2000 目砂纸预处理；硬度均值 78.520→71.780 HA。</t>
        </is>
      </c>
    </row>
    <row r="22">
      <c r="A22" t="inlineStr">
        <is>
          <t>RXQ-WEAR-D035-S78</t>
        </is>
      </c>
      <c r="B22" t="inlineStr">
        <is>
          <t>TIR-RXQ-D035-S78</t>
        </is>
      </c>
      <c r="C22" t="inlineStr">
        <is>
          <t>AGE-RXQ-0840H</t>
        </is>
      </c>
      <c r="E22" t="inlineStr">
        <is>
          <t>ANON-OPERATOR</t>
        </is>
      </c>
      <c r="F22" t="n">
        <v>50</v>
      </c>
      <c r="G22" t="n">
        <v>0.2094393333333333</v>
      </c>
      <c r="H22" t="n">
        <v>6000</v>
      </c>
      <c r="I22" t="n">
        <v>1256.636</v>
      </c>
      <c r="J22" t="n">
        <v>24.2734</v>
      </c>
      <c r="K22" t="n">
        <v>0.485468</v>
      </c>
      <c r="L22" t="n">
        <v>3348.8</v>
      </c>
      <c r="M22" t="n">
        <v>3340</v>
      </c>
      <c r="N22" t="n">
        <v>8.800000000000363</v>
      </c>
      <c r="O22" t="n">
        <v>0.1400564682215115</v>
      </c>
      <c r="P22" t="n">
        <v>73.49467</v>
      </c>
      <c r="Q22" t="n">
        <v>25</v>
      </c>
      <c r="R22" t="n">
        <v>45</v>
      </c>
      <c r="S22" t="inlineStr">
        <is>
          <t>abrasive_wheel_80_mesh</t>
        </is>
      </c>
      <c r="T22" t="inlineStr">
        <is>
          <t>CFT-I</t>
        </is>
      </c>
      <c r="U22" t="n">
        <v>2</v>
      </c>
      <c r="V22" t="inlineStr">
        <is>
          <t>pending_review/rxq_aging_experiments/data/原始数据.xlsx</t>
        </is>
      </c>
      <c r="W22" t="inlineStr">
        <is>
          <t>pass_with_documented_conditions</t>
        </is>
      </c>
      <c r="X22" t="inlineStr">
        <is>
          <t>100 r/min、10000 r、50 N；25±1 °C、45±3% RH；80 目砂轮，2000 目砂纸预处理；硬度均值 78.840→70.380 HA。</t>
        </is>
      </c>
    </row>
  </sheetData>
  <mergeCells count="1">
    <mergeCell ref="A1:X2"/>
  </mergeCells>
  <conditionalFormatting sqref="W5:W34">
    <cfRule type="containsText" priority="1" operator="containsText" dxfId="0" text="review"/>
    <cfRule type="containsText" priority="2" operator="containsText" dxfId="1" text="exclude"/>
  </conditionalFormatting>
  <dataValidations count="1">
    <dataValidation sqref="W5:W34" showDropDown="0" showInputMessage="0" showErrorMessage="0" allowBlank="0" type="list">
      <formula1>"pass,review,exclude"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4" t="inlineStr">
        <is>
          <t>按老化工况汇总（公式驱动）</t>
        </is>
      </c>
    </row>
    <row r="2" ht="30" customHeight="1"/>
    <row r="4" ht="34" customHeight="1">
      <c r="A4" s="32" t="inlineStr">
        <is>
          <t>aging_condition_id</t>
        </is>
      </c>
      <c r="B4" s="32" t="inlineStr">
        <is>
          <t>temperature_C</t>
        </is>
      </c>
      <c r="C4" s="32" t="inlineStr">
        <is>
          <t>duration_h</t>
        </is>
      </c>
      <c r="D4" s="32" t="inlineStr">
        <is>
          <t>valid_test_count</t>
        </is>
      </c>
      <c r="E4" s="32" t="inlineStr">
        <is>
          <t>avg_friction_coefficient</t>
        </is>
      </c>
      <c r="F4" s="32" t="inlineStr">
        <is>
          <t>avg_mass_loss_mg</t>
        </is>
      </c>
      <c r="G4" s="32" t="inlineStr">
        <is>
          <t>avg_wear_rate_mg_per_Nm</t>
        </is>
      </c>
      <c r="H4" s="32" t="inlineStr">
        <is>
          <t>review_or_exclude_count</t>
        </is>
      </c>
      <c r="J4" t="inlineStr">
        <is>
          <t>aging_condition</t>
        </is>
      </c>
      <c r="K4" t="inlineStr">
        <is>
          <t>avg_friction_coefficient</t>
        </is>
      </c>
    </row>
    <row r="5">
      <c r="A5" s="12">
        <f>'老化工况'!A5</f>
        <v/>
      </c>
      <c r="B5" s="63">
        <f>'老化工况'!B5</f>
        <v/>
      </c>
      <c r="C5" s="63">
        <f>'老化工况'!E5</f>
        <v/>
      </c>
      <c r="D5" s="64">
        <f>COUNTIFS('磨损原始记录'!$C$5:$C$34,A5,'磨损原始记录'!$W$5:$W$34,"pass")</f>
        <v/>
      </c>
      <c r="E5" s="65">
        <f>IFERROR(SUMIFS('磨损原始记录'!$K$5:$K$34,'磨损原始记录'!$C$5:$C$34,A5,'磨损原始记录'!$W$5:$W$34,"pass")/D5,"")</f>
        <v/>
      </c>
      <c r="F5" s="65">
        <f>IFERROR(SUMIFS('磨损原始记录'!$N$5:$N$34,'磨损原始记录'!$C$5:$C$34,A5,'磨损原始记录'!$W$5:$W$34,"pass")/D5,"")</f>
        <v/>
      </c>
      <c r="G5" s="65">
        <f>IFERROR(SUMIFS('磨损原始记录'!$O$5:$O$34,'磨损原始记录'!$C$5:$C$34,A5,'磨损原始记录'!$W$5:$W$34,"pass")/D5,"")</f>
        <v/>
      </c>
      <c r="H5" s="12">
        <f>COUNTIFS('磨损原始记录'!$C$5:$C$34,A5,'磨损原始记录'!$W$5:$W$34,"&lt;&gt;pass")</f>
        <v/>
      </c>
      <c r="J5">
        <f>A5</f>
        <v/>
      </c>
      <c r="K5">
        <f>E5</f>
        <v/>
      </c>
    </row>
    <row r="6">
      <c r="A6" s="13">
        <f>'老化工况'!A6</f>
        <v/>
      </c>
      <c r="B6" s="66">
        <f>'老化工况'!B6</f>
        <v/>
      </c>
      <c r="C6" s="66">
        <f>'老化工况'!E6</f>
        <v/>
      </c>
      <c r="D6" s="67">
        <f>COUNTIFS('磨损原始记录'!$C$5:$C$34,A6,'磨损原始记录'!$W$5:$W$34,"pass")</f>
        <v/>
      </c>
      <c r="E6" s="68">
        <f>IFERROR(SUMIFS('磨损原始记录'!$K$5:$K$34,'磨损原始记录'!$C$5:$C$34,A6,'磨损原始记录'!$W$5:$W$34,"pass")/D6,"")</f>
        <v/>
      </c>
      <c r="F6" s="68">
        <f>IFERROR(SUMIFS('磨损原始记录'!$N$5:$N$34,'磨损原始记录'!$C$5:$C$34,A6,'磨损原始记录'!$W$5:$W$34,"pass")/D6,"")</f>
        <v/>
      </c>
      <c r="G6" s="68">
        <f>IFERROR(SUMIFS('磨损原始记录'!$O$5:$O$34,'磨损原始记录'!$C$5:$C$34,A6,'磨损原始记录'!$W$5:$W$34,"pass")/D6,"")</f>
        <v/>
      </c>
      <c r="H6" s="13">
        <f>COUNTIFS('磨损原始记录'!$C$5:$C$34,A6,'磨损原始记录'!$W$5:$W$34,"&lt;&gt;pass")</f>
        <v/>
      </c>
      <c r="J6">
        <f>A6</f>
        <v/>
      </c>
      <c r="K6">
        <f>E6</f>
        <v/>
      </c>
    </row>
    <row r="7">
      <c r="A7" s="14">
        <f>'老化工况'!A7</f>
        <v/>
      </c>
      <c r="B7" s="69">
        <f>'老化工况'!B7</f>
        <v/>
      </c>
      <c r="C7" s="69">
        <f>'老化工况'!E7</f>
        <v/>
      </c>
      <c r="D7" s="70">
        <f>COUNTIFS('磨损原始记录'!$C$5:$C$34,A7,'磨损原始记录'!$W$5:$W$34,"pass")</f>
        <v/>
      </c>
      <c r="E7" s="71">
        <f>IFERROR(SUMIFS('磨损原始记录'!$K$5:$K$34,'磨损原始记录'!$C$5:$C$34,A7,'磨损原始记录'!$W$5:$W$34,"pass")/D7,"")</f>
        <v/>
      </c>
      <c r="F7" s="71">
        <f>IFERROR(SUMIFS('磨损原始记录'!$N$5:$N$34,'磨损原始记录'!$C$5:$C$34,A7,'磨损原始记录'!$W$5:$W$34,"pass")/D7,"")</f>
        <v/>
      </c>
      <c r="G7" s="71">
        <f>IFERROR(SUMIFS('磨损原始记录'!$O$5:$O$34,'磨损原始记录'!$C$5:$C$34,A7,'磨损原始记录'!$W$5:$W$34,"pass")/D7,"")</f>
        <v/>
      </c>
      <c r="H7" s="14">
        <f>COUNTIFS('磨损原始记录'!$C$5:$C$34,A7,'磨损原始记录'!$W$5:$W$34,"&lt;&gt;pass")</f>
        <v/>
      </c>
      <c r="J7">
        <f>A7</f>
        <v/>
      </c>
      <c r="K7">
        <f>E7</f>
        <v/>
      </c>
    </row>
  </sheetData>
  <mergeCells count="1">
    <mergeCell ref="A1:H2"/>
  </mergeCells>
  <conditionalFormatting sqref="H5:H7">
    <cfRule type="cellIs" priority="1" operator="greaterThan" dxfId="4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</cols>
  <sheetData>
    <row r="1" ht="30" customHeight="1">
      <c r="A1" s="4" t="inlineStr">
        <is>
          <t>实验数据字典</t>
        </is>
      </c>
    </row>
    <row r="2" ht="30" customHeight="1"/>
    <row r="4" ht="34" customHeight="1">
      <c r="A4" s="32" t="inlineStr">
        <is>
          <t>sheet</t>
        </is>
      </c>
      <c r="B4" s="32" t="inlineStr">
        <is>
          <t>field</t>
        </is>
      </c>
      <c r="C4" s="32" t="inlineStr">
        <is>
          <t>type</t>
        </is>
      </c>
      <c r="D4" s="32" t="inlineStr">
        <is>
          <t>unit_or_enum</t>
        </is>
      </c>
      <c r="E4" s="32" t="inlineStr">
        <is>
          <t>required</t>
        </is>
      </c>
      <c r="F4" s="32" t="inlineStr">
        <is>
          <t>definition</t>
        </is>
      </c>
    </row>
    <row r="5">
      <c r="A5" s="24" t="inlineStr">
        <is>
          <t>样品信息</t>
        </is>
      </c>
      <c r="B5" s="24" t="inlineStr">
        <is>
          <t>sample_id</t>
        </is>
      </c>
      <c r="C5" s="24" t="inlineStr">
        <is>
          <t>text</t>
        </is>
      </c>
      <c r="D5" s="24" t="inlineStr">
        <is>
          <t>unique</t>
        </is>
      </c>
      <c r="E5" s="24" t="inlineStr">
        <is>
          <t>yes</t>
        </is>
      </c>
      <c r="F5" s="24" t="inlineStr">
        <is>
          <t>样品唯一编号，贯穿工况、测量和图像</t>
        </is>
      </c>
    </row>
    <row r="6">
      <c r="A6" s="25" t="inlineStr">
        <is>
          <t>样品信息</t>
        </is>
      </c>
      <c r="B6" s="25" t="inlineStr">
        <is>
          <t>authorization_status</t>
        </is>
      </c>
      <c r="C6" s="25" t="inlineStr">
        <is>
          <t>enum</t>
        </is>
      </c>
      <c r="D6" s="25" t="inlineStr">
        <is>
          <t>pending/team_owned/authorized/public/restricted</t>
        </is>
      </c>
      <c r="E6" s="25" t="inlineStr">
        <is>
          <t>yes</t>
        </is>
      </c>
      <c r="F6" s="25" t="inlineStr">
        <is>
          <t>数据使用授权状态</t>
        </is>
      </c>
    </row>
    <row r="7">
      <c r="A7" s="25" t="inlineStr">
        <is>
          <t>老化工况</t>
        </is>
      </c>
      <c r="B7" s="25" t="inlineStr">
        <is>
          <t>aging_condition_id</t>
        </is>
      </c>
      <c r="C7" s="25" t="inlineStr">
        <is>
          <t>text</t>
        </is>
      </c>
      <c r="D7" s="25" t="inlineStr">
        <is>
          <t>unique</t>
        </is>
      </c>
      <c r="E7" s="25" t="inlineStr">
        <is>
          <t>yes</t>
        </is>
      </c>
      <c r="F7" s="25" t="inlineStr">
        <is>
          <t>热氧老化工况唯一编号</t>
        </is>
      </c>
    </row>
    <row r="8">
      <c r="A8" s="25" t="inlineStr">
        <is>
          <t>老化工况</t>
        </is>
      </c>
      <c r="B8" s="25" t="inlineStr">
        <is>
          <t>measured_temperature_mean_C</t>
        </is>
      </c>
      <c r="C8" s="25" t="inlineStr">
        <is>
          <t>number</t>
        </is>
      </c>
      <c r="D8" s="25" t="inlineStr">
        <is>
          <t>degC</t>
        </is>
      </c>
      <c r="E8" s="25" t="inlineStr">
        <is>
          <t>yes</t>
        </is>
      </c>
      <c r="F8" s="25" t="inlineStr">
        <is>
          <t>老化期间实测平均温度</t>
        </is>
      </c>
    </row>
    <row r="9">
      <c r="A9" s="25" t="inlineStr">
        <is>
          <t>磨损原始记录</t>
        </is>
      </c>
      <c r="B9" s="25" t="inlineStr">
        <is>
          <t>normal_load_N</t>
        </is>
      </c>
      <c r="C9" s="25" t="inlineStr">
        <is>
          <t>number</t>
        </is>
      </c>
      <c r="D9" s="25" t="inlineStr">
        <is>
          <t>N</t>
        </is>
      </c>
      <c r="E9" s="25" t="inlineStr">
        <is>
          <t>yes</t>
        </is>
      </c>
      <c r="F9" s="25" t="inlineStr">
        <is>
          <t>法向载荷</t>
        </is>
      </c>
    </row>
    <row r="10">
      <c r="A10" s="25" t="inlineStr">
        <is>
          <t>磨损原始记录</t>
        </is>
      </c>
      <c r="B10" s="25" t="inlineStr">
        <is>
          <t>sliding_speed_m_s</t>
        </is>
      </c>
      <c r="C10" s="25" t="inlineStr">
        <is>
          <t>number</t>
        </is>
      </c>
      <c r="D10" s="25" t="inlineStr">
        <is>
          <t>m/s</t>
        </is>
      </c>
      <c r="E10" s="25" t="inlineStr">
        <is>
          <t>yes</t>
        </is>
      </c>
      <c r="F10" s="25" t="inlineStr">
        <is>
          <t>滑动速度</t>
        </is>
      </c>
    </row>
    <row r="11">
      <c r="A11" s="25" t="inlineStr">
        <is>
          <t>磨损原始记录</t>
        </is>
      </c>
      <c r="B11" s="25" t="inlineStr">
        <is>
          <t>sliding_distance_m</t>
        </is>
      </c>
      <c r="C11" s="25" t="inlineStr">
        <is>
          <t>formula</t>
        </is>
      </c>
      <c r="D11" s="25" t="inlineStr">
        <is>
          <t>m</t>
        </is>
      </c>
      <c r="E11" s="25" t="inlineStr">
        <is>
          <t>derived</t>
        </is>
      </c>
      <c r="F11" s="25" t="inlineStr">
        <is>
          <t>速度乘以时间</t>
        </is>
      </c>
    </row>
    <row r="12">
      <c r="A12" s="25" t="inlineStr">
        <is>
          <t>磨损原始记录</t>
        </is>
      </c>
      <c r="B12" s="25" t="inlineStr">
        <is>
          <t>friction_coefficient</t>
        </is>
      </c>
      <c r="C12" s="25" t="inlineStr">
        <is>
          <t>formula</t>
        </is>
      </c>
      <c r="D12" s="25" t="inlineStr">
        <is>
          <t>dimensionless</t>
        </is>
      </c>
      <c r="E12" s="25" t="inlineStr">
        <is>
          <t>derived</t>
        </is>
      </c>
      <c r="F12" s="25" t="inlineStr">
        <is>
          <t>平均摩擦力除以法向载荷</t>
        </is>
      </c>
    </row>
    <row r="13">
      <c r="A13" s="25" t="inlineStr">
        <is>
          <t>磨损原始记录</t>
        </is>
      </c>
      <c r="B13" s="25" t="inlineStr">
        <is>
          <t>mass_loss_mg</t>
        </is>
      </c>
      <c r="C13" s="25" t="inlineStr">
        <is>
          <t>formula</t>
        </is>
      </c>
      <c r="D13" s="25" t="inlineStr">
        <is>
          <t>mg</t>
        </is>
      </c>
      <c r="E13" s="25" t="inlineStr">
        <is>
          <t>derived</t>
        </is>
      </c>
      <c r="F13" s="25" t="inlineStr">
        <is>
          <t>试验前质量减去试验后质量</t>
        </is>
      </c>
    </row>
    <row r="14">
      <c r="A14" s="25" t="inlineStr">
        <is>
          <t>磨损原始记录</t>
        </is>
      </c>
      <c r="B14" s="25" t="inlineStr">
        <is>
          <t>wear_rate_mg_per_Nm</t>
        </is>
      </c>
      <c r="C14" s="25" t="inlineStr">
        <is>
          <t>formula</t>
        </is>
      </c>
      <c r="D14" s="25" t="inlineStr">
        <is>
          <t>mg/(N*m)</t>
        </is>
      </c>
      <c r="E14" s="25" t="inlineStr">
        <is>
          <t>derived</t>
        </is>
      </c>
      <c r="F14" s="25" t="inlineStr">
        <is>
          <t>质量损失除以载荷与滑动距离</t>
        </is>
      </c>
    </row>
    <row r="15">
      <c r="A15" s="25" t="inlineStr">
        <is>
          <t>磨损原始记录</t>
        </is>
      </c>
      <c r="B15" s="25" t="inlineStr">
        <is>
          <t>qc_flag</t>
        </is>
      </c>
      <c r="C15" s="25" t="inlineStr">
        <is>
          <t>enum</t>
        </is>
      </c>
      <c r="D15" s="25" t="inlineStr">
        <is>
          <t>pass/review/exclude</t>
        </is>
      </c>
      <c r="E15" s="25" t="inlineStr">
        <is>
          <t>yes</t>
        </is>
      </c>
      <c r="F15" s="25" t="inlineStr">
        <is>
          <t>质量控制状态</t>
        </is>
      </c>
    </row>
    <row r="16">
      <c r="A16" s="26" t="inlineStr">
        <is>
          <t>磨损原始记录</t>
        </is>
      </c>
      <c r="B16" s="26" t="inlineStr">
        <is>
          <t>source_file</t>
        </is>
      </c>
      <c r="C16" s="26" t="inlineStr">
        <is>
          <t>text</t>
        </is>
      </c>
      <c r="D16" s="26" t="inlineStr">
        <is>
          <t>relative path</t>
        </is>
      </c>
      <c r="E16" s="26" t="inlineStr">
        <is>
          <t>yes</t>
        </is>
      </c>
      <c r="F16" s="26" t="inlineStr">
        <is>
          <t>对应仪器原始导出文件</t>
        </is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2026-08-04T11:00:25Z</dcterms:created>
  <dcterms:modified xsi:type="dcterms:W3CDTF">2026-08-04T11:00:25Z</dcterms:modified>
</cp:coreProperties>
</file>