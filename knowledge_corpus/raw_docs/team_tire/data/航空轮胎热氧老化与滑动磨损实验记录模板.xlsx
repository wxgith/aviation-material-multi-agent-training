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913664442b4f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14c0df0081b44abf"/>
    <x:sheet xmlns:r="http://schemas.openxmlformats.org/officeDocument/2006/relationships" name="样品信息" sheetId="2" r:id="R455b724a3c6545ed"/>
    <x:sheet xmlns:r="http://schemas.openxmlformats.org/officeDocument/2006/relationships" name="老化工况" sheetId="3" r:id="R56aea46583074767"/>
    <x:sheet xmlns:r="http://schemas.openxmlformats.org/officeDocument/2006/relationships" name="磨损原始记录" sheetId="4" r:id="R173f99db6f6b4112"/>
    <x:sheet xmlns:r="http://schemas.openxmlformats.org/officeDocument/2006/relationships" name="结果汇总" sheetId="5" r:id="R07aa5da7c6054687"/>
    <x:sheet xmlns:r="http://schemas.openxmlformats.org/officeDocument/2006/relationships" name="数据字典" sheetId="6" r:id="Rd15a2ee05efb4e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"/>
    <x:numFmt numFmtId="201" formatCode="yyyy-mm-dd"/>
    <x:numFmt numFmtId="202" formatCode="yyyy-mm-dd hh:mm"/>
    <x:numFmt numFmtId="203" formatCode="0.0000"/>
    <x:numFmt numFmtId="204" formatCode="0.0"/>
    <x:numFmt numFmtId="205" formatCode="0"/>
    <x:numFmt numFmtId="206" formatCode="0.00000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1"/>
      <x:color rgb="FF137C8B"/>
      <x:name val="Carlito"/>
    </x:font>
    <x:font>
      <x:b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37C8B"/>
      </x:patternFill>
    </x:fill>
    <x:fill>
      <x:patternFill patternType="solid">
        <x:fgColor rgb="FFE8F4F4"/>
      </x:patternFill>
    </x:fill>
    <x:fill>
      <x:patternFill patternType="solid">
        <x:fgColor rgb="FFEAF1F8"/>
      </x:patternFill>
    </x:fill>
    <x:fill>
      <x:patternFill patternType="solid">
        <x:fgColor rgb="FFE8F5E9"/>
      </x:patternFill>
    </x:fill>
  </x:fills>
  <x:borders count="5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4" fillId="4" borderId="3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4" xfId="0" applyNumberFormat="1" applyFont="1" applyFill="1" applyBorder="1"/>
    <x:xf numFmtId="0" fontId="5" fillId="5" borderId="4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horizontal="center" wrapText="1"/>
    </x:xf>
    <x:xf numFmtId="0" fontId="5" fillId="5" borderId="4" xfId="0" applyNumberFormat="1" applyFont="1" applyFill="1" applyBorder="1" applyAlignment="1">
      <x:alignment horizontal="center" vertical="center" wrapText="1"/>
    </x:xf>
    <x:xf numFmtId="200" fontId="3" fillId="0" borderId="1" xfId="0" applyNumberFormat="1" applyFont="1" applyFill="1" applyBorder="1" applyAlignment="1">
      <x:alignment vertical="center"/>
    </x:xf>
    <x:xf numFmtId="200" fontId="3" fillId="0" borderId="2" xfId="0" applyNumberFormat="1" applyFont="1" applyFill="1" applyBorder="1" applyAlignment="1">
      <x:alignment vertical="center"/>
    </x:xf>
    <x:xf numFmtId="200" fontId="3" fillId="0" borderId="3" xfId="0" applyNumberFormat="1" applyFont="1" applyFill="1" applyBorder="1" applyAlignment="1">
      <x:alignment vertical="center"/>
    </x:xf>
    <x:xf numFmtId="201" fontId="3" fillId="0" borderId="1" xfId="0" applyNumberFormat="1" applyFont="1" applyFill="1" applyBorder="1" applyAlignment="1">
      <x:alignment vertical="center"/>
    </x:xf>
    <x:xf numFmtId="201" fontId="3" fillId="0" borderId="2" xfId="0" applyNumberFormat="1" applyFont="1" applyFill="1" applyBorder="1" applyAlignment="1">
      <x:alignment vertical="center"/>
    </x:xf>
    <x:xf numFmtId="201" fontId="3" fillId="0" borderId="3" xfId="0" applyNumberFormat="1" applyFont="1" applyFill="1" applyBorder="1" applyAlignment="1">
      <x:alignment vertical="center"/>
    </x:xf>
    <x:xf numFmtId="202" fontId="3" fillId="0" borderId="1" xfId="0" applyNumberFormat="1" applyFont="1" applyFill="1" applyBorder="1" applyAlignment="1">
      <x:alignment vertical="center"/>
    </x:xf>
    <x:xf numFmtId="202" fontId="3" fillId="0" borderId="2" xfId="0" applyNumberFormat="1" applyFont="1" applyFill="1" applyBorder="1" applyAlignment="1">
      <x:alignment vertical="center"/>
    </x:xf>
    <x:xf numFmtId="202" fontId="3" fillId="0" borderId="3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/>
    </x:xf>
    <x:xf numFmtId="0" fontId="3" fillId="5" borderId="2" xfId="0" applyNumberFormat="1" applyFont="1" applyFill="1" applyBorder="1" applyAlignment="1">
      <x:alignment vertical="center"/>
    </x:xf>
    <x:xf numFmtId="0" fontId="3" fillId="5" borderId="3" xfId="0" applyNumberFormat="1" applyFont="1" applyFill="1" applyBorder="1" applyAlignment="1">
      <x:alignment vertical="center"/>
    </x:xf>
    <x:xf numFmtId="0" fontId="3" fillId="6" borderId="1" xfId="0" applyNumberFormat="1" applyFont="1" applyFill="1" applyBorder="1" applyAlignment="1">
      <x:alignment vertical="center"/>
    </x:xf>
    <x:xf numFmtId="0" fontId="3" fillId="6" borderId="2" xfId="0" applyNumberFormat="1" applyFont="1" applyFill="1" applyBorder="1" applyAlignment="1">
      <x:alignment vertical="center"/>
    </x:xf>
    <x:xf numFmtId="0" fontId="3" fillId="6" borderId="3" xfId="0" applyNumberFormat="1" applyFont="1" applyFill="1" applyBorder="1" applyAlignment="1">
      <x:alignment vertical="center"/>
    </x:xf>
    <x:xf numFmtId="203" fontId="3" fillId="5" borderId="1" xfId="0" applyNumberFormat="1" applyFont="1" applyFill="1" applyBorder="1" applyAlignment="1">
      <x:alignment vertical="center"/>
    </x:xf>
    <x:xf numFmtId="203" fontId="3" fillId="6" borderId="1" xfId="0" applyNumberFormat="1" applyFont="1" applyFill="1" applyBorder="1" applyAlignment="1">
      <x:alignment vertical="center"/>
    </x:xf>
    <x:xf numFmtId="203" fontId="3" fillId="5" borderId="2" xfId="0" applyNumberFormat="1" applyFont="1" applyFill="1" applyBorder="1" applyAlignment="1">
      <x:alignment vertical="center"/>
    </x:xf>
    <x:xf numFmtId="203" fontId="3" fillId="6" borderId="2" xfId="0" applyNumberFormat="1" applyFont="1" applyFill="1" applyBorder="1" applyAlignment="1">
      <x:alignment vertical="center"/>
    </x:xf>
    <x:xf numFmtId="203" fontId="3" fillId="5" borderId="3" xfId="0" applyNumberFormat="1" applyFont="1" applyFill="1" applyBorder="1" applyAlignment="1">
      <x:alignment vertical="center"/>
    </x:xf>
    <x:xf numFmtId="203" fontId="3" fillId="6" borderId="3" xfId="0" applyNumberFormat="1" applyFont="1" applyFill="1" applyBorder="1" applyAlignment="1">
      <x:alignment vertical="center"/>
    </x:xf>
    <x:xf numFmtId="204" fontId="3" fillId="0" borderId="1" xfId="0" applyNumberFormat="1" applyFont="1" applyFill="1" applyBorder="1" applyAlignment="1">
      <x:alignment vertical="center"/>
    </x:xf>
    <x:xf numFmtId="204" fontId="3" fillId="0" borderId="2" xfId="0" applyNumberFormat="1" applyFont="1" applyFill="1" applyBorder="1" applyAlignment="1">
      <x:alignment vertical="center"/>
    </x:xf>
    <x:xf numFmtId="204" fontId="3" fillId="0" borderId="3" xfId="0" applyNumberFormat="1" applyFont="1" applyFill="1" applyBorder="1" applyAlignment="1">
      <x:alignment vertical="center"/>
    </x:xf>
    <x:xf numFmtId="205" fontId="3" fillId="0" borderId="1" xfId="0" applyNumberFormat="1" applyFont="1" applyFill="1" applyBorder="1" applyAlignment="1">
      <x:alignment vertical="center"/>
    </x:xf>
    <x:xf numFmtId="205" fontId="3" fillId="0" borderId="2" xfId="0" applyNumberFormat="1" applyFont="1" applyFill="1" applyBorder="1" applyAlignment="1">
      <x:alignment vertical="center"/>
    </x:xf>
    <x:xf numFmtId="205" fontId="3" fillId="0" borderId="3" xfId="0" applyNumberFormat="1" applyFont="1" applyFill="1" applyBorder="1" applyAlignment="1">
      <x:alignment vertical="center"/>
    </x:xf>
    <x:xf numFmtId="206" fontId="3" fillId="0" borderId="1" xfId="0" applyNumberFormat="1" applyFont="1" applyFill="1" applyBorder="1" applyAlignment="1">
      <x:alignment vertical="center"/>
    </x:xf>
    <x:xf numFmtId="206" fontId="3" fillId="0" borderId="2" xfId="0" applyNumberFormat="1" applyFont="1" applyFill="1" applyBorder="1" applyAlignment="1">
      <x:alignment vertical="center"/>
    </x:xf>
    <x:xf numFmtId="206" fontId="3" fillId="0" borderId="3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ont>
        <x:color rgb="FF854D0E"/>
      </x:font>
      <x:fill>
        <x:patternFill patternType="solid">
          <x:bgColor rgb="FFFFF4CC"/>
        </x:patternFill>
      </x:fill>
    </x:dxf>
    <x:dxf>
      <x:font>
        <x:color rgb="FF991B1B"/>
      </x:font>
      <x:fill>
        <x:patternFill patternType="solid">
          <x:bgColor rgb="FFFDECEC"/>
        </x:patternFill>
      </x:fill>
    </x:dxf>
    <x:dxf>
      <x:font>
        <x:color rgb="FF854D0E"/>
      </x:font>
      <x:fill>
        <x:patternFill patternType="solid">
          <x:bgColor rgb="FFFFF4CC"/>
        </x:patternFill>
      </x:fill>
    </x:dxf>
    <x:dxf>
      <x:font>
        <x:color rgb="FF991B1B"/>
      </x:font>
      <x:fill>
        <x:patternFill patternType="solid">
          <x:bgColor rgb="FFFDECEC"/>
        </x:patternFill>
      </x:fill>
    </x:dxf>
    <x:dxf>
      <x:font>
        <x:b/>
        <x:color rgb="FF854D0E"/>
      </x:font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68687a377a490a" /><Relationship Type="http://schemas.openxmlformats.org/officeDocument/2006/relationships/theme" Target="/xl/theme/theme1.xml" Id="R706a179910774223" /><Relationship Type="http://schemas.openxmlformats.org/officeDocument/2006/relationships/sharedStrings" Target="/xl/sharedStrings.xml" Id="Rae93b27a19454232" /><Relationship Type="http://schemas.openxmlformats.org/officeDocument/2006/relationships/worksheet" Target="/xl/worksheets/sheet1.xml" Id="R14c0df0081b44abf" /><Relationship Type="http://schemas.openxmlformats.org/officeDocument/2006/relationships/worksheet" Target="/xl/worksheets/sheet2.xml" Id="R455b724a3c6545ed" /><Relationship Type="http://schemas.openxmlformats.org/officeDocument/2006/relationships/worksheet" Target="/xl/worksheets/sheet3.xml" Id="R56aea46583074767" /><Relationship Type="http://schemas.openxmlformats.org/officeDocument/2006/relationships/worksheet" Target="/xl/worksheets/sheet4.xml" Id="R173f99db6f6b4112" /><Relationship Type="http://schemas.openxmlformats.org/officeDocument/2006/relationships/worksheet" Target="/xl/worksheets/sheet5.xml" Id="R07aa5da7c6054687" /><Relationship Type="http://schemas.openxmlformats.org/officeDocument/2006/relationships/worksheet" Target="/xl/worksheets/sheet6.xml" Id="Rd15a2ee05efb4ec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10d19b2c8614b8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平均摩擦系数随老化工况变化（示例）</a:t>
            </a:r>
          </a:p>
        </c:rich>
      </c:tx>
    </c:title>
    <c:plotArea>
      <c:lineChart>
        <c:grouping val="standard"/>
        <c:ser>
          <c:idx val="0"/>
          <c:order val="0"/>
          <c:tx>
            <c:v>avg_friction_coefficient</c:v>
          </c:tx>
          <c:marker>
            <c:symbol val="none"/>
          </c:marker>
          <c:cat>
            <c:strRef>
              <c:f>'结果汇总'!$J$5:$J$7</c:f>
              <c:strCache>
                <c:ptCount val="0"/>
              </c:strCache>
            </c:strRef>
          </c:cat>
          <c:val>
            <c:numRef>
              <c:f>'结果汇总'!$K$5:$K$7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8</xdr:row>
      <xdr:rowOff>0</xdr:rowOff>
    </xdr:from>
    <xdr:to>
      <xdr:col>17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10d19b2c8614b8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amplesTable" displayName="SamplesTable" ref="A4:M24" headerRowCount="1" totalsRowCount="0" totalsRowShown="0">
  <x:autoFilter ref="A4:M24"/>
  <x:tableColumns count="13">
    <x:tableColumn id="1" name="sample_id"/>
    <x:tableColumn id="2" name="batch_code"/>
    <x:tableColumn id="3" name="material_type"/>
    <x:tableColumn id="4" name="compound_code"/>
    <x:tableColumn id="5" name="specimen_shape"/>
    <x:tableColumn id="6" name="length_mm"/>
    <x:tableColumn id="7" name="width_mm"/>
    <x:tableColumn id="8" name="thickness_mm"/>
    <x:tableColumn id="9" name="preparation_date"/>
    <x:tableColumn id="10" name="aging_condition_id"/>
    <x:tableColumn id="11" name="repetition_no"/>
    <x:tableColumn id="12" name="authorization_status"/>
    <x:tableColumn id="13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gingConditionsTable" displayName="AgingConditionsTable" ref="A4:N24" headerRowCount="1" totalsRowCount="0" totalsRowShown="0">
  <x:autoFilter ref="A4:N24"/>
  <x:tableColumns count="14">
    <x:tableColumn id="1" name="aging_condition_id"/>
    <x:tableColumn id="2" name="set_temperature_C"/>
    <x:tableColumn id="3" name="measured_temperature_mean_C"/>
    <x:tableColumn id="4" name="temperature_tolerance_C"/>
    <x:tableColumn id="5" name="duration_h"/>
    <x:tableColumn id="6" name="atmosphere"/>
    <x:tableColumn id="7" name="air_exchange"/>
    <x:tableColumn id="8" name="oven_code"/>
    <x:tableColumn id="9" name="start_datetime"/>
    <x:tableColumn id="10" name="end_datetime"/>
    <x:tableColumn id="11" name="sample_count"/>
    <x:tableColumn id="12" name="standard_or_sop"/>
    <x:tableColumn id="13" name="qc_flag"/>
    <x:tableColumn id="14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earRawRecordsTable" displayName="WearRawRecordsTable" ref="A4:X34" headerRowCount="1" totalsRowCount="0" totalsRowShown="0">
  <x:autoFilter ref="A4:X34"/>
  <x:tableColumns count="24">
    <x:tableColumn id="1" name="record_id"/>
    <x:tableColumn id="2" name="sample_id"/>
    <x:tableColumn id="3" name="aging_condition_id"/>
    <x:tableColumn id="4" name="test_date"/>
    <x:tableColumn id="5" name="operator_code"/>
    <x:tableColumn id="6" name="normal_load_N"/>
    <x:tableColumn id="7" name="sliding_speed_m_s"/>
    <x:tableColumn id="8" name="duration_s"/>
    <x:tableColumn id="9" name="sliding_distance_m"/>
    <x:tableColumn id="10" name="friction_force_mean_N"/>
    <x:tableColumn id="11" name="friction_coefficient"/>
    <x:tableColumn id="12" name="mass_before_mg"/>
    <x:tableColumn id="13" name="mass_after_mg"/>
    <x:tableColumn id="14" name="mass_loss_mg"/>
    <x:tableColumn id="15" name="wear_rate_mg_per_Nm"/>
    <x:tableColumn id="16" name="surface_temp_C"/>
    <x:tableColumn id="17" name="ambient_temp_C"/>
    <x:tableColumn id="18" name="relative_humidity_pct"/>
    <x:tableColumn id="19" name="counterface_material"/>
    <x:tableColumn id="20" name="equipment_code"/>
    <x:tableColumn id="21" name="repetition_no"/>
    <x:tableColumn id="22" name="source_file"/>
    <x:tableColumn id="23" name="qc_flag"/>
    <x:tableColumn id="2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c5f210b3aea44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33937e0c03421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64274b0432546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92e393d31da745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2" hidden="0" customWidth="1"/>
    <x:col min="3" max="3" width="34" hidden="0" customWidth="1"/>
    <x:col min="4" max="4" width="25" hidden="0" customWidth="1"/>
    <x:col min="5" max="5" width="24" hidden="0" customWidth="1"/>
    <x:col min="6" max="6" width="28" hidden="0" customWidth="1"/>
  </x:cols>
  <x:sheetData>
    <x:row r="1" ht="30" customHeight="1">
      <x:c r="A1" s="4" t="str">
        <x:v>航空轮胎热氧老化与滑动磨损实验记录模板</x:v>
      </x:c>
      <x:c r="B1" s="4" t="str">
        <x:v>航空轮胎热氧老化与滑动磨损实验记录模板</x:v>
      </x:c>
      <x:c r="C1" s="4" t="str">
        <x:v>航空轮胎热氧老化与滑动磨损实验记录模板</x:v>
      </x:c>
      <x:c r="D1" s="4" t="str">
        <x:v>航空轮胎热氧老化与滑动磨损实验记录模板</x:v>
      </x:c>
      <x:c r="E1" s="4" t="str">
        <x:v>航空轮胎热氧老化与滑动磨损实验记录模板</x:v>
      </x:c>
      <x:c r="F1" s="4" t="str">
        <x:v>航空轮胎热氧老化与滑动磨损实验记录模板</x:v>
      </x:c>
    </x:row>
    <x:row r="2" ht="30" customHeight="1">
      <x:c r="A2" s="4" t="str">
        <x:v>航空轮胎热氧老化与滑动磨损实验记录模板</x:v>
      </x:c>
      <x:c r="B2" s="4" t="str">
        <x:v>航空轮胎热氧老化与滑动磨损实验记录模板</x:v>
      </x:c>
      <x:c r="C2" s="4" t="str">
        <x:v>航空轮胎热氧老化与滑动磨损实验记录模板</x:v>
      </x:c>
      <x:c r="D2" s="4" t="str">
        <x:v>航空轮胎热氧老化与滑动磨损实验记录模板</x:v>
      </x:c>
      <x:c r="E2" s="4" t="str">
        <x:v>航空轮胎热氧老化与滑动磨损实验记录模板</x:v>
      </x:c>
      <x:c r="F2" s="4" t="str">
        <x:v>航空轮胎热氧老化与滑动磨损实验记录模板</x:v>
      </x:c>
    </x:row>
    <x:row r="4" ht="24" customHeight="1">
      <x:c r="A4" s="7" t="str">
        <x:v>填写原则</x:v>
      </x:c>
      <x:c r="B4" s="7"/>
      <x:c r="C4" s="7"/>
      <x:c r="D4" s="7"/>
      <x:c r="E4" s="7"/>
      <x:c r="F4" s="7"/>
    </x:row>
    <x:row r="5">
      <x:c r="A5" s="21" t="n">
        <x:v>1</x:v>
      </x:c>
      <x:c r="B5" s="24" t="str">
        <x:v>数据边界</x:v>
      </x:c>
      <x:c r="C5" s="24" t="str">
        <x:v>每行一个样品、工况或测量记录；单位写在列名中。</x:v>
      </x:c>
      <x:c r="D5" s="24" t="str">
        <x:v>不要合并单元格</x:v>
      </x:c>
      <x:c r="E5" s="24" t="str">
        <x:v>原始值不可覆盖</x:v>
      </x:c>
      <x:c r="F5" s="24" t="str">
        <x:v>示例行以 DEMO- 开头</x:v>
      </x:c>
    </x:row>
    <x:row r="6">
      <x:c r="A6" s="22" t="n">
        <x:v>2</x:v>
      </x:c>
      <x:c r="B6" s="25" t="str">
        <x:v>身份脱敏</x:v>
      </x:c>
      <x:c r="C6" s="25" t="str">
        <x:v>姓名、学号和手机号替换为 OP-A、REVIEWER-B 等代码。</x:v>
      </x:c>
      <x:c r="D6" s="25" t="str">
        <x:v>人员代码</x:v>
      </x:c>
      <x:c r="E6" s="25" t="str">
        <x:v>不得写个人敏感信息</x:v>
      </x:c>
      <x:c r="F6" s="25" t="str">
        <x:v>参见脱敏规范</x:v>
      </x:c>
    </x:row>
    <x:row r="7">
      <x:c r="A7" s="22" t="n">
        <x:v>3</x:v>
      </x:c>
      <x:c r="B7" s="25" t="str">
        <x:v>样品关联</x:v>
      </x:c>
      <x:c r="C7" s="25" t="str">
        <x:v>sample_id 必须同时出现在样品信息和磨损原始记录中。</x:v>
      </x:c>
      <x:c r="D7" s="25" t="str">
        <x:v>TIR-批次-工况-重复</x:v>
      </x:c>
      <x:c r="E7" s="25" t="str">
        <x:v>保持唯一</x:v>
      </x:c>
      <x:c r="F7" s="25" t="str">
        <x:v>不得重复使用</x:v>
      </x:c>
    </x:row>
    <x:row r="8">
      <x:c r="A8" s="22" t="n">
        <x:v>4</x:v>
      </x:c>
      <x:c r="B8" s="25" t="str">
        <x:v>工况关联</x:v>
      </x:c>
      <x:c r="C8" s="25" t="str">
        <x:v>aging_condition_id 对应老化工况表中的唯一编号。</x:v>
      </x:c>
      <x:c r="D8" s="25" t="str">
        <x:v>AGE-100C-72H</x:v>
      </x:c>
      <x:c r="E8" s="25" t="str">
        <x:v>温度与时间分列</x:v>
      </x:c>
      <x:c r="F8" s="25" t="str">
        <x:v>记录实测偏差</x:v>
      </x:c>
    </x:row>
    <x:row r="9">
      <x:c r="A9" s="22" t="n">
        <x:v>5</x:v>
      </x:c>
      <x:c r="B9" s="25" t="str">
        <x:v>原始附件</x:v>
      </x:c>
      <x:c r="C9" s="25" t="str">
        <x:v>仪器 CSV/TXT 保存到 attachments，工作簿记录 source_file。</x:v>
      </x:c>
      <x:c r="D9" s="25" t="str">
        <x:v>相对路径</x:v>
      </x:c>
      <x:c r="E9" s="25" t="str">
        <x:v>保留原文件</x:v>
      </x:c>
      <x:c r="F9" s="25" t="str">
        <x:v>不覆盖仪器数据</x:v>
      </x:c>
    </x:row>
    <x:row r="10">
      <x:c r="A10" s="22" t="n">
        <x:v>6</x:v>
      </x:c>
      <x:c r="B10" s="25" t="str">
        <x:v>质量控制</x:v>
      </x:c>
      <x:c r="C10" s="25" t="str">
        <x:v>异常、缺失、排除均填写 qc_flag 和备注。</x:v>
      </x:c>
      <x:c r="D10" s="25" t="str">
        <x:v>pass/review/exclude</x:v>
      </x:c>
      <x:c r="E10" s="25" t="str">
        <x:v>排除需说明理由</x:v>
      </x:c>
      <x:c r="F10" s="25" t="str">
        <x:v>由复核人确认</x:v>
      </x:c>
    </x:row>
    <x:row r="11">
      <x:c r="A11" s="22" t="n">
        <x:v>7</x:v>
      </x:c>
      <x:c r="B11" s="25" t="str">
        <x:v>公式列</x:v>
      </x:c>
      <x:c r="C11" s="25" t="str">
        <x:v>滑动距离、摩擦系数、质量损失和磨损率由公式计算。</x:v>
      </x:c>
      <x:c r="D11" s="25" t="str">
        <x:v>蓝色列为输入</x:v>
      </x:c>
      <x:c r="E11" s="25" t="str">
        <x:v>绿色列为公式</x:v>
      </x:c>
      <x:c r="F11" s="25" t="str">
        <x:v>不要粘贴覆盖公式</x:v>
      </x:c>
    </x:row>
    <x:row r="12">
      <x:c r="A12" s="23" t="n">
        <x:v>8</x:v>
      </x:c>
      <x:c r="B12" s="26" t="str">
        <x:v>入库条件</x:v>
      </x:c>
      <x:c r="C12" s="26" t="str">
        <x:v>授权状态、数据复核和专业复核全部通过后才能进入 RAG。</x:v>
      </x:c>
      <x:c r="D12" s="26" t="str">
        <x:v>manifest</x:v>
      </x:c>
      <x:c r="E12" s="26" t="str">
        <x:v>review_status=approved</x:v>
      </x:c>
      <x:c r="F12" s="26" t="str">
        <x:v>approved_for_rag=true</x:v>
      </x:c>
    </x:row>
  </x:sheetData>
  <x:mergeCells>
    <x:mergeCell ref="A1:F2"/>
    <x:mergeCell ref="A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2" hidden="0" customWidth="1"/>
    <x:col min="11" max="11" width="16" hidden="0" customWidth="1"/>
    <x:col min="12" max="12" width="16" hidden="0" customWidth="1"/>
    <x:col min="13" max="13" width="28" hidden="0" customWidth="1"/>
  </x:cols>
  <x:sheetData>
    <x:row r="1" ht="30" customHeight="1">
      <x:c r="A1" s="4" t="str">
        <x:v>样品信息</x:v>
      </x:c>
      <x:c r="B1" s="4" t="str">
        <x:v>样品信息</x:v>
      </x:c>
      <x:c r="C1" s="4" t="str">
        <x:v>样品信息</x:v>
      </x:c>
      <x:c r="D1" s="4" t="str">
        <x:v>样品信息</x:v>
      </x:c>
      <x:c r="E1" s="4" t="str">
        <x:v>样品信息</x:v>
      </x:c>
      <x:c r="F1" s="4" t="str">
        <x:v>样品信息</x:v>
      </x:c>
      <x:c r="G1" s="4" t="str">
        <x:v>样品信息</x:v>
      </x:c>
      <x:c r="H1" s="4" t="str">
        <x:v>样品信息</x:v>
      </x:c>
      <x:c r="I1" s="4" t="str">
        <x:v>样品信息</x:v>
      </x:c>
      <x:c r="J1" s="4" t="str">
        <x:v>样品信息</x:v>
      </x:c>
      <x:c r="K1" s="4" t="str">
        <x:v>样品信息</x:v>
      </x:c>
      <x:c r="L1" s="4" t="str">
        <x:v>样品信息</x:v>
      </x:c>
      <x:c r="M1" s="4" t="str">
        <x:v>样品信息</x:v>
      </x:c>
    </x:row>
    <x:row r="2" ht="30" customHeight="1">
      <x:c r="A2" s="4" t="str">
        <x:v>样品信息</x:v>
      </x:c>
      <x:c r="B2" s="4" t="str">
        <x:v>样品信息</x:v>
      </x:c>
      <x:c r="C2" s="4" t="str">
        <x:v>样品信息</x:v>
      </x:c>
      <x:c r="D2" s="4" t="str">
        <x:v>样品信息</x:v>
      </x:c>
      <x:c r="E2" s="4" t="str">
        <x:v>样品信息</x:v>
      </x:c>
      <x:c r="F2" s="4" t="str">
        <x:v>样品信息</x:v>
      </x:c>
      <x:c r="G2" s="4" t="str">
        <x:v>样品信息</x:v>
      </x:c>
      <x:c r="H2" s="4" t="str">
        <x:v>样品信息</x:v>
      </x:c>
      <x:c r="I2" s="4" t="str">
        <x:v>样品信息</x:v>
      </x:c>
      <x:c r="J2" s="4" t="str">
        <x:v>样品信息</x:v>
      </x:c>
      <x:c r="K2" s="4" t="str">
        <x:v>样品信息</x:v>
      </x:c>
      <x:c r="L2" s="4" t="str">
        <x:v>样品信息</x:v>
      </x:c>
      <x:c r="M2" s="4" t="str">
        <x:v>样品信息</x:v>
      </x:c>
    </x:row>
    <x:row r="4" ht="34" customHeight="1">
      <x:c r="A4" s="32" t="str">
        <x:v>sample_id</x:v>
      </x:c>
      <x:c r="B4" s="32" t="str">
        <x:v>batch_code</x:v>
      </x:c>
      <x:c r="C4" s="32" t="str">
        <x:v>material_type</x:v>
      </x:c>
      <x:c r="D4" s="32" t="str">
        <x:v>compound_code</x:v>
      </x:c>
      <x:c r="E4" s="32" t="str">
        <x:v>specimen_shape</x:v>
      </x:c>
      <x:c r="F4" s="32" t="str">
        <x:v>length_mm</x:v>
      </x:c>
      <x:c r="G4" s="32" t="str">
        <x:v>width_mm</x:v>
      </x:c>
      <x:c r="H4" s="32" t="str">
        <x:v>thickness_mm</x:v>
      </x:c>
      <x:c r="I4" s="32" t="str">
        <x:v>preparation_date</x:v>
      </x:c>
      <x:c r="J4" s="32" t="str">
        <x:v>aging_condition_id</x:v>
      </x:c>
      <x:c r="K4" s="32" t="str">
        <x:v>repetition_no</x:v>
      </x:c>
      <x:c r="L4" s="32" t="str">
        <x:v>authorization_status</x:v>
      </x:c>
      <x:c r="M4" s="32" t="str">
        <x:v>notes</x:v>
      </x:c>
    </x:row>
    <x:row r="5">
      <x:c r="A5" s="12" t="str">
        <x:v>DEMO-TIR-B01-AGE0H-R01</x:v>
      </x:c>
      <x:c r="B5" s="12" t="str">
        <x:v>B01</x:v>
      </x:c>
      <x:c r="C5" s="12" t="str">
        <x:v>胎面橡胶</x:v>
      </x:c>
      <x:c r="D5" s="12" t="str">
        <x:v>FORMULA-A</x:v>
      </x:c>
      <x:c r="E5" s="12" t="str">
        <x:v>矩形</x:v>
      </x:c>
      <x:c r="F5" s="33" t="n">
        <x:v>30</x:v>
      </x:c>
      <x:c r="G5" s="33" t="n">
        <x:v>10</x:v>
      </x:c>
      <x:c r="H5" s="33" t="n">
        <x:v>5</x:v>
      </x:c>
      <x:c r="I5" s="36" t="n">
        <x:v>46235</x:v>
      </x:c>
      <x:c r="J5" s="12" t="str">
        <x:v>AGE-100C-0H</x:v>
      </x:c>
      <x:c r="K5" s="12" t="n">
        <x:v>1</x:v>
      </x:c>
      <x:c r="L5" s="12" t="str">
        <x:v>team_owned</x:v>
      </x:c>
      <x:c r="M5" s="12" t="str">
        <x:v>未老化对照示例</x:v>
      </x:c>
    </x:row>
    <x:row r="6">
      <x:c r="A6" s="13" t="str">
        <x:v>DEMO-TIR-B01-AGE72H-R01</x:v>
      </x:c>
      <x:c r="B6" s="13" t="str">
        <x:v>B01</x:v>
      </x:c>
      <x:c r="C6" s="13" t="str">
        <x:v>胎面橡胶</x:v>
      </x:c>
      <x:c r="D6" s="13" t="str">
        <x:v>FORMULA-A</x:v>
      </x:c>
      <x:c r="E6" s="13" t="str">
        <x:v>矩形</x:v>
      </x:c>
      <x:c r="F6" s="34" t="n">
        <x:v>30</x:v>
      </x:c>
      <x:c r="G6" s="34" t="n">
        <x:v>10</x:v>
      </x:c>
      <x:c r="H6" s="34" t="n">
        <x:v>5</x:v>
      </x:c>
      <x:c r="I6" s="37" t="n">
        <x:v>46235</x:v>
      </x:c>
      <x:c r="J6" s="13" t="str">
        <x:v>AGE-100C-72H</x:v>
      </x:c>
      <x:c r="K6" s="13" t="n">
        <x:v>1</x:v>
      </x:c>
      <x:c r="L6" s="13" t="str">
        <x:v>team_owned</x:v>
      </x:c>
      <x:c r="M6" s="13" t="str">
        <x:v>72 h 示例</x:v>
      </x:c>
    </x:row>
    <x:row r="7">
      <x:c r="A7" s="13" t="str">
        <x:v>DEMO-TIR-B01-AGE168H-R01</x:v>
      </x:c>
      <x:c r="B7" s="13" t="str">
        <x:v>B01</x:v>
      </x:c>
      <x:c r="C7" s="13" t="str">
        <x:v>胎面橡胶</x:v>
      </x:c>
      <x:c r="D7" s="13" t="str">
        <x:v>FORMULA-A</x:v>
      </x:c>
      <x:c r="E7" s="13" t="str">
        <x:v>矩形</x:v>
      </x:c>
      <x:c r="F7" s="34" t="n">
        <x:v>30</x:v>
      </x:c>
      <x:c r="G7" s="34" t="n">
        <x:v>10</x:v>
      </x:c>
      <x:c r="H7" s="34" t="n">
        <x:v>5</x:v>
      </x:c>
      <x:c r="I7" s="37" t="n">
        <x:v>46235</x:v>
      </x:c>
      <x:c r="J7" s="13" t="str">
        <x:v>AGE-100C-168H</x:v>
      </x:c>
      <x:c r="K7" s="13" t="n">
        <x:v>1</x:v>
      </x:c>
      <x:c r="L7" s="13" t="str">
        <x:v>team_owned</x:v>
      </x:c>
      <x:c r="M7" s="13" t="str">
        <x:v>168 h 示例</x:v>
      </x:c>
    </x:row>
    <x:row r="8">
      <x:c r="A8" s="13"/>
      <x:c r="B8" s="13"/>
      <x:c r="C8" s="13"/>
      <x:c r="D8" s="13"/>
      <x:c r="E8" s="13"/>
      <x:c r="F8" s="34"/>
      <x:c r="G8" s="34"/>
      <x:c r="H8" s="34"/>
      <x:c r="I8" s="37"/>
      <x:c r="J8" s="13"/>
      <x:c r="K8" s="13"/>
      <x:c r="L8" s="13"/>
      <x:c r="M8" s="13"/>
    </x:row>
    <x:row r="9">
      <x:c r="A9" s="13"/>
      <x:c r="B9" s="13"/>
      <x:c r="C9" s="13"/>
      <x:c r="D9" s="13"/>
      <x:c r="E9" s="13"/>
      <x:c r="F9" s="34"/>
      <x:c r="G9" s="34"/>
      <x:c r="H9" s="34"/>
      <x:c r="I9" s="37"/>
      <x:c r="J9" s="13"/>
      <x:c r="K9" s="13"/>
      <x:c r="L9" s="13"/>
      <x:c r="M9" s="13"/>
    </x:row>
    <x:row r="10">
      <x:c r="A10" s="13"/>
      <x:c r="B10" s="13"/>
      <x:c r="C10" s="13"/>
      <x:c r="D10" s="13"/>
      <x:c r="E10" s="13"/>
      <x:c r="F10" s="34"/>
      <x:c r="G10" s="34"/>
      <x:c r="H10" s="34"/>
      <x:c r="I10" s="37"/>
      <x:c r="J10" s="13"/>
      <x:c r="K10" s="13"/>
      <x:c r="L10" s="13"/>
      <x:c r="M10" s="13"/>
    </x:row>
    <x:row r="11">
      <x:c r="A11" s="13"/>
      <x:c r="B11" s="13"/>
      <x:c r="C11" s="13"/>
      <x:c r="D11" s="13"/>
      <x:c r="E11" s="13"/>
      <x:c r="F11" s="34"/>
      <x:c r="G11" s="34"/>
      <x:c r="H11" s="34"/>
      <x:c r="I11" s="37"/>
      <x:c r="J11" s="13"/>
      <x:c r="K11" s="13"/>
      <x:c r="L11" s="13"/>
      <x:c r="M11" s="13"/>
    </x:row>
    <x:row r="12">
      <x:c r="A12" s="13"/>
      <x:c r="B12" s="13"/>
      <x:c r="C12" s="13"/>
      <x:c r="D12" s="13"/>
      <x:c r="E12" s="13"/>
      <x:c r="F12" s="34"/>
      <x:c r="G12" s="34"/>
      <x:c r="H12" s="34"/>
      <x:c r="I12" s="37"/>
      <x:c r="J12" s="13"/>
      <x:c r="K12" s="13"/>
      <x:c r="L12" s="13"/>
      <x:c r="M12" s="13"/>
    </x:row>
    <x:row r="13">
      <x:c r="A13" s="13"/>
      <x:c r="B13" s="13"/>
      <x:c r="C13" s="13"/>
      <x:c r="D13" s="13"/>
      <x:c r="E13" s="13"/>
      <x:c r="F13" s="34"/>
      <x:c r="G13" s="34"/>
      <x:c r="H13" s="34"/>
      <x:c r="I13" s="37"/>
      <x:c r="J13" s="13"/>
      <x:c r="K13" s="13"/>
      <x:c r="L13" s="13"/>
      <x:c r="M13" s="13"/>
    </x:row>
    <x:row r="14">
      <x:c r="A14" s="13"/>
      <x:c r="B14" s="13"/>
      <x:c r="C14" s="13"/>
      <x:c r="D14" s="13"/>
      <x:c r="E14" s="13"/>
      <x:c r="F14" s="34"/>
      <x:c r="G14" s="34"/>
      <x:c r="H14" s="34"/>
      <x:c r="I14" s="37"/>
      <x:c r="J14" s="13"/>
      <x:c r="K14" s="13"/>
      <x:c r="L14" s="13"/>
      <x:c r="M14" s="13"/>
    </x:row>
    <x:row r="15">
      <x:c r="A15" s="13"/>
      <x:c r="B15" s="13"/>
      <x:c r="C15" s="13"/>
      <x:c r="D15" s="13"/>
      <x:c r="E15" s="13"/>
      <x:c r="F15" s="34"/>
      <x:c r="G15" s="34"/>
      <x:c r="H15" s="34"/>
      <x:c r="I15" s="37"/>
      <x:c r="J15" s="13"/>
      <x:c r="K15" s="13"/>
      <x:c r="L15" s="13"/>
      <x:c r="M15" s="13"/>
    </x:row>
    <x:row r="16">
      <x:c r="A16" s="13"/>
      <x:c r="B16" s="13"/>
      <x:c r="C16" s="13"/>
      <x:c r="D16" s="13"/>
      <x:c r="E16" s="13"/>
      <x:c r="F16" s="34"/>
      <x:c r="G16" s="34"/>
      <x:c r="H16" s="34"/>
      <x:c r="I16" s="37"/>
      <x:c r="J16" s="13"/>
      <x:c r="K16" s="13"/>
      <x:c r="L16" s="13"/>
      <x:c r="M16" s="13"/>
    </x:row>
    <x:row r="17">
      <x:c r="A17" s="13"/>
      <x:c r="B17" s="13"/>
      <x:c r="C17" s="13"/>
      <x:c r="D17" s="13"/>
      <x:c r="E17" s="13"/>
      <x:c r="F17" s="34"/>
      <x:c r="G17" s="34"/>
      <x:c r="H17" s="34"/>
      <x:c r="I17" s="37"/>
      <x:c r="J17" s="13"/>
      <x:c r="K17" s="13"/>
      <x:c r="L17" s="13"/>
      <x:c r="M17" s="13"/>
    </x:row>
    <x:row r="18">
      <x:c r="A18" s="13"/>
      <x:c r="B18" s="13"/>
      <x:c r="C18" s="13"/>
      <x:c r="D18" s="13"/>
      <x:c r="E18" s="13"/>
      <x:c r="F18" s="34"/>
      <x:c r="G18" s="34"/>
      <x:c r="H18" s="34"/>
      <x:c r="I18" s="37"/>
      <x:c r="J18" s="13"/>
      <x:c r="K18" s="13"/>
      <x:c r="L18" s="13"/>
      <x:c r="M18" s="13"/>
    </x:row>
    <x:row r="19">
      <x:c r="A19" s="13"/>
      <x:c r="B19" s="13"/>
      <x:c r="C19" s="13"/>
      <x:c r="D19" s="13"/>
      <x:c r="E19" s="13"/>
      <x:c r="F19" s="34"/>
      <x:c r="G19" s="34"/>
      <x:c r="H19" s="34"/>
      <x:c r="I19" s="37"/>
      <x:c r="J19" s="13"/>
      <x:c r="K19" s="13"/>
      <x:c r="L19" s="13"/>
      <x:c r="M19" s="13"/>
    </x:row>
    <x:row r="20">
      <x:c r="A20" s="13"/>
      <x:c r="B20" s="13"/>
      <x:c r="C20" s="13"/>
      <x:c r="D20" s="13"/>
      <x:c r="E20" s="13"/>
      <x:c r="F20" s="34"/>
      <x:c r="G20" s="34"/>
      <x:c r="H20" s="34"/>
      <x:c r="I20" s="37"/>
      <x:c r="J20" s="13"/>
      <x:c r="K20" s="13"/>
      <x:c r="L20" s="13"/>
      <x:c r="M20" s="13"/>
    </x:row>
    <x:row r="21">
      <x:c r="A21" s="13"/>
      <x:c r="B21" s="13"/>
      <x:c r="C21" s="13"/>
      <x:c r="D21" s="13"/>
      <x:c r="E21" s="13"/>
      <x:c r="F21" s="34"/>
      <x:c r="G21" s="34"/>
      <x:c r="H21" s="34"/>
      <x:c r="I21" s="37"/>
      <x:c r="J21" s="13"/>
      <x:c r="K21" s="13"/>
      <x:c r="L21" s="13"/>
      <x:c r="M21" s="13"/>
    </x:row>
    <x:row r="22">
      <x:c r="A22" s="13"/>
      <x:c r="B22" s="13"/>
      <x:c r="C22" s="13"/>
      <x:c r="D22" s="13"/>
      <x:c r="E22" s="13"/>
      <x:c r="F22" s="34"/>
      <x:c r="G22" s="34"/>
      <x:c r="H22" s="34"/>
      <x:c r="I22" s="37"/>
      <x:c r="J22" s="13"/>
      <x:c r="K22" s="13"/>
      <x:c r="L22" s="13"/>
      <x:c r="M22" s="13"/>
    </x:row>
    <x:row r="23">
      <x:c r="A23" s="13"/>
      <x:c r="B23" s="13"/>
      <x:c r="C23" s="13"/>
      <x:c r="D23" s="13"/>
      <x:c r="E23" s="13"/>
      <x:c r="F23" s="34"/>
      <x:c r="G23" s="34"/>
      <x:c r="H23" s="34"/>
      <x:c r="I23" s="37"/>
      <x:c r="J23" s="13"/>
      <x:c r="K23" s="13"/>
      <x:c r="L23" s="13"/>
      <x:c r="M23" s="13"/>
    </x:row>
    <x:row r="24">
      <x:c r="A24" s="14"/>
      <x:c r="B24" s="14"/>
      <x:c r="C24" s="14"/>
      <x:c r="D24" s="14"/>
      <x:c r="E24" s="14"/>
      <x:c r="F24" s="35"/>
      <x:c r="G24" s="35"/>
      <x:c r="H24" s="35"/>
      <x:c r="I24" s="38"/>
      <x:c r="J24" s="14"/>
      <x:c r="K24" s="14"/>
      <x:c r="L24" s="14"/>
      <x:c r="M24" s="14"/>
    </x:row>
  </x:sheetData>
  <x:mergeCells>
    <x:mergeCell ref="A1:M2"/>
  </x:mergeCells>
  <x:dataValidations count="1">
    <x:dataValidation type="list" sqref="L5:L24">
      <x:formula1>"pending,team_owned,authorized,public,restricted"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c5f210b3aea443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9" hidden="0" customWidth="1"/>
    <x:col min="3" max="3" width="19" hidden="0" customWidth="1"/>
    <x:col min="4" max="4" width="19" hidden="0" customWidth="1"/>
    <x:col min="5" max="5" width="17" hidden="0" customWidth="1"/>
    <x:col min="6" max="6" width="17" hidden="0" customWidth="1"/>
    <x:col min="7" max="7" width="22" hidden="0" customWidth="1"/>
    <x:col min="8" max="8" width="17" hidden="0" customWidth="1"/>
    <x:col min="9" max="9" width="20" hidden="0" customWidth="1"/>
    <x:col min="10" max="10" width="20" hidden="0" customWidth="1"/>
    <x:col min="11" max="11" width="17" hidden="0" customWidth="1"/>
    <x:col min="12" max="12" width="24" hidden="0" customWidth="1"/>
    <x:col min="13" max="13" width="17" hidden="0" customWidth="1"/>
    <x:col min="14" max="14" width="26" hidden="0" customWidth="1"/>
  </x:cols>
  <x:sheetData>
    <x:row r="1" ht="30" customHeight="1">
      <x:c r="A1" s="4" t="str">
        <x:v>热氧老化工况</x:v>
      </x:c>
      <x:c r="B1" s="4" t="str">
        <x:v>热氧老化工况</x:v>
      </x:c>
      <x:c r="C1" s="4" t="str">
        <x:v>热氧老化工况</x:v>
      </x:c>
      <x:c r="D1" s="4" t="str">
        <x:v>热氧老化工况</x:v>
      </x:c>
      <x:c r="E1" s="4" t="str">
        <x:v>热氧老化工况</x:v>
      </x:c>
      <x:c r="F1" s="4" t="str">
        <x:v>热氧老化工况</x:v>
      </x:c>
      <x:c r="G1" s="4" t="str">
        <x:v>热氧老化工况</x:v>
      </x:c>
      <x:c r="H1" s="4" t="str">
        <x:v>热氧老化工况</x:v>
      </x:c>
      <x:c r="I1" s="4" t="str">
        <x:v>热氧老化工况</x:v>
      </x:c>
      <x:c r="J1" s="4" t="str">
        <x:v>热氧老化工况</x:v>
      </x:c>
      <x:c r="K1" s="4" t="str">
        <x:v>热氧老化工况</x:v>
      </x:c>
      <x:c r="L1" s="4" t="str">
        <x:v>热氧老化工况</x:v>
      </x:c>
      <x:c r="M1" s="4" t="str">
        <x:v>热氧老化工况</x:v>
      </x:c>
      <x:c r="N1" s="4" t="str">
        <x:v>热氧老化工况</x:v>
      </x:c>
    </x:row>
    <x:row r="2" ht="30" customHeight="1">
      <x:c r="A2" s="4" t="str">
        <x:v>热氧老化工况</x:v>
      </x:c>
      <x:c r="B2" s="4" t="str">
        <x:v>热氧老化工况</x:v>
      </x:c>
      <x:c r="C2" s="4" t="str">
        <x:v>热氧老化工况</x:v>
      </x:c>
      <x:c r="D2" s="4" t="str">
        <x:v>热氧老化工况</x:v>
      </x:c>
      <x:c r="E2" s="4" t="str">
        <x:v>热氧老化工况</x:v>
      </x:c>
      <x:c r="F2" s="4" t="str">
        <x:v>热氧老化工况</x:v>
      </x:c>
      <x:c r="G2" s="4" t="str">
        <x:v>热氧老化工况</x:v>
      </x:c>
      <x:c r="H2" s="4" t="str">
        <x:v>热氧老化工况</x:v>
      </x:c>
      <x:c r="I2" s="4" t="str">
        <x:v>热氧老化工况</x:v>
      </x:c>
      <x:c r="J2" s="4" t="str">
        <x:v>热氧老化工况</x:v>
      </x:c>
      <x:c r="K2" s="4" t="str">
        <x:v>热氧老化工况</x:v>
      </x:c>
      <x:c r="L2" s="4" t="str">
        <x:v>热氧老化工况</x:v>
      </x:c>
      <x:c r="M2" s="4" t="str">
        <x:v>热氧老化工况</x:v>
      </x:c>
      <x:c r="N2" s="4" t="str">
        <x:v>热氧老化工况</x:v>
      </x:c>
    </x:row>
    <x:row r="4" ht="34" customHeight="1">
      <x:c r="A4" s="32" t="str">
        <x:v>aging_condition_id</x:v>
      </x:c>
      <x:c r="B4" s="32" t="str">
        <x:v>set_temperature_C</x:v>
      </x:c>
      <x:c r="C4" s="32" t="str">
        <x:v>measured_temperature_mean_C</x:v>
      </x:c>
      <x:c r="D4" s="32" t="str">
        <x:v>temperature_tolerance_C</x:v>
      </x:c>
      <x:c r="E4" s="32" t="str">
        <x:v>duration_h</x:v>
      </x:c>
      <x:c r="F4" s="32" t="str">
        <x:v>atmosphere</x:v>
      </x:c>
      <x:c r="G4" s="32" t="str">
        <x:v>air_exchange</x:v>
      </x:c>
      <x:c r="H4" s="32" t="str">
        <x:v>oven_code</x:v>
      </x:c>
      <x:c r="I4" s="32" t="str">
        <x:v>start_datetime</x:v>
      </x:c>
      <x:c r="J4" s="32" t="str">
        <x:v>end_datetime</x:v>
      </x:c>
      <x:c r="K4" s="32" t="str">
        <x:v>sample_count</x:v>
      </x:c>
      <x:c r="L4" s="32" t="str">
        <x:v>standard_or_sop</x:v>
      </x:c>
      <x:c r="M4" s="32" t="str">
        <x:v>qc_flag</x:v>
      </x:c>
      <x:c r="N4" s="32" t="str">
        <x:v>notes</x:v>
      </x:c>
    </x:row>
    <x:row r="5">
      <x:c r="A5" s="12" t="str">
        <x:v>AGE-100C-0H</x:v>
      </x:c>
      <x:c r="B5" s="33" t="n">
        <x:v>100</x:v>
      </x:c>
      <x:c r="C5" s="33" t="n">
        <x:v>100</x:v>
      </x:c>
      <x:c r="D5" s="33" t="n">
        <x:v>2</x:v>
      </x:c>
      <x:c r="E5" s="33" t="n">
        <x:v>0</x:v>
      </x:c>
      <x:c r="F5" s="12" t="str">
        <x:v>air</x:v>
      </x:c>
      <x:c r="G5" s="12" t="str">
        <x:v>laboratory_default</x:v>
      </x:c>
      <x:c r="H5" s="12" t="str">
        <x:v>OVEN-A</x:v>
      </x:c>
      <x:c r="I5" s="39" t="n">
        <x:v>46236</x:v>
      </x:c>
      <x:c r="J5" s="39" t="n">
        <x:v>46236</x:v>
      </x:c>
      <x:c r="K5" s="12" t="n">
        <x:v>1</x:v>
      </x:c>
      <x:c r="L5" s="12" t="str">
        <x:v>LAB-SOP-AGING-01</x:v>
      </x:c>
      <x:c r="M5" s="12" t="str">
        <x:v>pass</x:v>
      </x:c>
      <x:c r="N5" s="12" t="str">
        <x:v>对照组示例</x:v>
      </x:c>
    </x:row>
    <x:row r="6">
      <x:c r="A6" s="13" t="str">
        <x:v>AGE-100C-72H</x:v>
      </x:c>
      <x:c r="B6" s="34" t="n">
        <x:v>100</x:v>
      </x:c>
      <x:c r="C6" s="34" t="n">
        <x:v>100.4</x:v>
      </x:c>
      <x:c r="D6" s="34" t="n">
        <x:v>2</x:v>
      </x:c>
      <x:c r="E6" s="34" t="n">
        <x:v>72</x:v>
      </x:c>
      <x:c r="F6" s="13" t="str">
        <x:v>air</x:v>
      </x:c>
      <x:c r="G6" s="13" t="str">
        <x:v>laboratory_default</x:v>
      </x:c>
      <x:c r="H6" s="13" t="str">
        <x:v>OVEN-A</x:v>
      </x:c>
      <x:c r="I6" s="40" t="n">
        <x:v>46236</x:v>
      </x:c>
      <x:c r="J6" s="40" t="n">
        <x:v>46239</x:v>
      </x:c>
      <x:c r="K6" s="13" t="n">
        <x:v>1</x:v>
      </x:c>
      <x:c r="L6" s="13" t="str">
        <x:v>LAB-SOP-AGING-01</x:v>
      </x:c>
      <x:c r="M6" s="13" t="str">
        <x:v>pass</x:v>
      </x:c>
      <x:c r="N6" s="13" t="str">
        <x:v>示例</x:v>
      </x:c>
    </x:row>
    <x:row r="7">
      <x:c r="A7" s="13" t="str">
        <x:v>AGE-100C-168H</x:v>
      </x:c>
      <x:c r="B7" s="34" t="n">
        <x:v>100</x:v>
      </x:c>
      <x:c r="C7" s="34" t="n">
        <x:v>99.8</x:v>
      </x:c>
      <x:c r="D7" s="34" t="n">
        <x:v>2</x:v>
      </x:c>
      <x:c r="E7" s="34" t="n">
        <x:v>168</x:v>
      </x:c>
      <x:c r="F7" s="13" t="str">
        <x:v>air</x:v>
      </x:c>
      <x:c r="G7" s="13" t="str">
        <x:v>laboratory_default</x:v>
      </x:c>
      <x:c r="H7" s="13" t="str">
        <x:v>OVEN-A</x:v>
      </x:c>
      <x:c r="I7" s="40" t="n">
        <x:v>46236</x:v>
      </x:c>
      <x:c r="J7" s="40" t="n">
        <x:v>46243</x:v>
      </x:c>
      <x:c r="K7" s="13" t="n">
        <x:v>1</x:v>
      </x:c>
      <x:c r="L7" s="13" t="str">
        <x:v>LAB-SOP-AGING-01</x:v>
      </x:c>
      <x:c r="M7" s="13" t="str">
        <x:v>pass</x:v>
      </x:c>
      <x:c r="N7" s="13" t="str">
        <x:v>示例</x:v>
      </x:c>
    </x:row>
    <x:row r="8">
      <x:c r="A8" s="13"/>
      <x:c r="B8" s="34"/>
      <x:c r="C8" s="34"/>
      <x:c r="D8" s="34"/>
      <x:c r="E8" s="34"/>
      <x:c r="F8" s="13"/>
      <x:c r="G8" s="13"/>
      <x:c r="H8" s="13"/>
      <x:c r="I8" s="40"/>
      <x:c r="J8" s="40"/>
      <x:c r="K8" s="13"/>
      <x:c r="L8" s="13"/>
      <x:c r="M8" s="13"/>
      <x:c r="N8" s="13"/>
    </x:row>
    <x:row r="9">
      <x:c r="A9" s="13"/>
      <x:c r="B9" s="34"/>
      <x:c r="C9" s="34"/>
      <x:c r="D9" s="34"/>
      <x:c r="E9" s="34"/>
      <x:c r="F9" s="13"/>
      <x:c r="G9" s="13"/>
      <x:c r="H9" s="13"/>
      <x:c r="I9" s="40"/>
      <x:c r="J9" s="40"/>
      <x:c r="K9" s="13"/>
      <x:c r="L9" s="13"/>
      <x:c r="M9" s="13"/>
      <x:c r="N9" s="13"/>
    </x:row>
    <x:row r="10">
      <x:c r="A10" s="13"/>
      <x:c r="B10" s="34"/>
      <x:c r="C10" s="34"/>
      <x:c r="D10" s="34"/>
      <x:c r="E10" s="34"/>
      <x:c r="F10" s="13"/>
      <x:c r="G10" s="13"/>
      <x:c r="H10" s="13"/>
      <x:c r="I10" s="40"/>
      <x:c r="J10" s="40"/>
      <x:c r="K10" s="13"/>
      <x:c r="L10" s="13"/>
      <x:c r="M10" s="13"/>
      <x:c r="N10" s="13"/>
    </x:row>
    <x:row r="11">
      <x:c r="A11" s="13"/>
      <x:c r="B11" s="34"/>
      <x:c r="C11" s="34"/>
      <x:c r="D11" s="34"/>
      <x:c r="E11" s="34"/>
      <x:c r="F11" s="13"/>
      <x:c r="G11" s="13"/>
      <x:c r="H11" s="13"/>
      <x:c r="I11" s="40"/>
      <x:c r="J11" s="40"/>
      <x:c r="K11" s="13"/>
      <x:c r="L11" s="13"/>
      <x:c r="M11" s="13"/>
      <x:c r="N11" s="13"/>
    </x:row>
    <x:row r="12">
      <x:c r="A12" s="13"/>
      <x:c r="B12" s="34"/>
      <x:c r="C12" s="34"/>
      <x:c r="D12" s="34"/>
      <x:c r="E12" s="34"/>
      <x:c r="F12" s="13"/>
      <x:c r="G12" s="13"/>
      <x:c r="H12" s="13"/>
      <x:c r="I12" s="40"/>
      <x:c r="J12" s="40"/>
      <x:c r="K12" s="13"/>
      <x:c r="L12" s="13"/>
      <x:c r="M12" s="13"/>
      <x:c r="N12" s="13"/>
    </x:row>
    <x:row r="13">
      <x:c r="A13" s="13"/>
      <x:c r="B13" s="34"/>
      <x:c r="C13" s="34"/>
      <x:c r="D13" s="34"/>
      <x:c r="E13" s="34"/>
      <x:c r="F13" s="13"/>
      <x:c r="G13" s="13"/>
      <x:c r="H13" s="13"/>
      <x:c r="I13" s="40"/>
      <x:c r="J13" s="40"/>
      <x:c r="K13" s="13"/>
      <x:c r="L13" s="13"/>
      <x:c r="M13" s="13"/>
      <x:c r="N13" s="13"/>
    </x:row>
    <x:row r="14">
      <x:c r="A14" s="13"/>
      <x:c r="B14" s="34"/>
      <x:c r="C14" s="34"/>
      <x:c r="D14" s="34"/>
      <x:c r="E14" s="34"/>
      <x:c r="F14" s="13"/>
      <x:c r="G14" s="13"/>
      <x:c r="H14" s="13"/>
      <x:c r="I14" s="40"/>
      <x:c r="J14" s="40"/>
      <x:c r="K14" s="13"/>
      <x:c r="L14" s="13"/>
      <x:c r="M14" s="13"/>
      <x:c r="N14" s="13"/>
    </x:row>
    <x:row r="15">
      <x:c r="A15" s="13"/>
      <x:c r="B15" s="34"/>
      <x:c r="C15" s="34"/>
      <x:c r="D15" s="34"/>
      <x:c r="E15" s="34"/>
      <x:c r="F15" s="13"/>
      <x:c r="G15" s="13"/>
      <x:c r="H15" s="13"/>
      <x:c r="I15" s="40"/>
      <x:c r="J15" s="40"/>
      <x:c r="K15" s="13"/>
      <x:c r="L15" s="13"/>
      <x:c r="M15" s="13"/>
      <x:c r="N15" s="13"/>
    </x:row>
    <x:row r="16">
      <x:c r="A16" s="13"/>
      <x:c r="B16" s="34"/>
      <x:c r="C16" s="34"/>
      <x:c r="D16" s="34"/>
      <x:c r="E16" s="34"/>
      <x:c r="F16" s="13"/>
      <x:c r="G16" s="13"/>
      <x:c r="H16" s="13"/>
      <x:c r="I16" s="40"/>
      <x:c r="J16" s="40"/>
      <x:c r="K16" s="13"/>
      <x:c r="L16" s="13"/>
      <x:c r="M16" s="13"/>
      <x:c r="N16" s="13"/>
    </x:row>
    <x:row r="17">
      <x:c r="A17" s="13"/>
      <x:c r="B17" s="34"/>
      <x:c r="C17" s="34"/>
      <x:c r="D17" s="34"/>
      <x:c r="E17" s="34"/>
      <x:c r="F17" s="13"/>
      <x:c r="G17" s="13"/>
      <x:c r="H17" s="13"/>
      <x:c r="I17" s="40"/>
      <x:c r="J17" s="40"/>
      <x:c r="K17" s="13"/>
      <x:c r="L17" s="13"/>
      <x:c r="M17" s="13"/>
      <x:c r="N17" s="13"/>
    </x:row>
    <x:row r="18">
      <x:c r="A18" s="13"/>
      <x:c r="B18" s="34"/>
      <x:c r="C18" s="34"/>
      <x:c r="D18" s="34"/>
      <x:c r="E18" s="34"/>
      <x:c r="F18" s="13"/>
      <x:c r="G18" s="13"/>
      <x:c r="H18" s="13"/>
      <x:c r="I18" s="40"/>
      <x:c r="J18" s="40"/>
      <x:c r="K18" s="13"/>
      <x:c r="L18" s="13"/>
      <x:c r="M18" s="13"/>
      <x:c r="N18" s="13"/>
    </x:row>
    <x:row r="19">
      <x:c r="A19" s="13"/>
      <x:c r="B19" s="34"/>
      <x:c r="C19" s="34"/>
      <x:c r="D19" s="34"/>
      <x:c r="E19" s="34"/>
      <x:c r="F19" s="13"/>
      <x:c r="G19" s="13"/>
      <x:c r="H19" s="13"/>
      <x:c r="I19" s="40"/>
      <x:c r="J19" s="40"/>
      <x:c r="K19" s="13"/>
      <x:c r="L19" s="13"/>
      <x:c r="M19" s="13"/>
      <x:c r="N19" s="13"/>
    </x:row>
    <x:row r="20">
      <x:c r="A20" s="13"/>
      <x:c r="B20" s="34"/>
      <x:c r="C20" s="34"/>
      <x:c r="D20" s="34"/>
      <x:c r="E20" s="34"/>
      <x:c r="F20" s="13"/>
      <x:c r="G20" s="13"/>
      <x:c r="H20" s="13"/>
      <x:c r="I20" s="40"/>
      <x:c r="J20" s="40"/>
      <x:c r="K20" s="13"/>
      <x:c r="L20" s="13"/>
      <x:c r="M20" s="13"/>
      <x:c r="N20" s="13"/>
    </x:row>
    <x:row r="21">
      <x:c r="A21" s="13"/>
      <x:c r="B21" s="34"/>
      <x:c r="C21" s="34"/>
      <x:c r="D21" s="34"/>
      <x:c r="E21" s="34"/>
      <x:c r="F21" s="13"/>
      <x:c r="G21" s="13"/>
      <x:c r="H21" s="13"/>
      <x:c r="I21" s="40"/>
      <x:c r="J21" s="40"/>
      <x:c r="K21" s="13"/>
      <x:c r="L21" s="13"/>
      <x:c r="M21" s="13"/>
      <x:c r="N21" s="13"/>
    </x:row>
    <x:row r="22">
      <x:c r="A22" s="13"/>
      <x:c r="B22" s="34"/>
      <x:c r="C22" s="34"/>
      <x:c r="D22" s="34"/>
      <x:c r="E22" s="34"/>
      <x:c r="F22" s="13"/>
      <x:c r="G22" s="13"/>
      <x:c r="H22" s="13"/>
      <x:c r="I22" s="40"/>
      <x:c r="J22" s="40"/>
      <x:c r="K22" s="13"/>
      <x:c r="L22" s="13"/>
      <x:c r="M22" s="13"/>
      <x:c r="N22" s="13"/>
    </x:row>
    <x:row r="23">
      <x:c r="A23" s="13"/>
      <x:c r="B23" s="34"/>
      <x:c r="C23" s="34"/>
      <x:c r="D23" s="34"/>
      <x:c r="E23" s="34"/>
      <x:c r="F23" s="13"/>
      <x:c r="G23" s="13"/>
      <x:c r="H23" s="13"/>
      <x:c r="I23" s="40"/>
      <x:c r="J23" s="40"/>
      <x:c r="K23" s="13"/>
      <x:c r="L23" s="13"/>
      <x:c r="M23" s="13"/>
      <x:c r="N23" s="13"/>
    </x:row>
    <x:row r="24">
      <x:c r="A24" s="14"/>
      <x:c r="B24" s="35"/>
      <x:c r="C24" s="35"/>
      <x:c r="D24" s="35"/>
      <x:c r="E24" s="35"/>
      <x:c r="F24" s="14"/>
      <x:c r="G24" s="14"/>
      <x:c r="H24" s="14"/>
      <x:c r="I24" s="41"/>
      <x:c r="J24" s="41"/>
      <x:c r="K24" s="14"/>
      <x:c r="L24" s="14"/>
      <x:c r="M24" s="14"/>
      <x:c r="N24" s="14"/>
    </x:row>
  </x:sheetData>
  <x:mergeCells>
    <x:mergeCell ref="A1:N2"/>
  </x:mergeCells>
  <x:conditionalFormatting sqref="M5:M24">
    <x:cfRule type="containsText" dxfId="0" priority="1" operator="containsText" text="review"/>
    <x:cfRule type="containsText" dxfId="1" priority="2" operator="containsText" text="exclude"/>
  </x:conditionalFormatting>
  <x:dataValidations count="1">
    <x:dataValidation type="list" sqref="M5:M24">
      <x:formula1>"pass,review,exclude"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33937e0c03421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0" hidden="0" customWidth="1"/>
    <x:col min="3" max="3" width="22" hidden="0" customWidth="1"/>
    <x:col min="4" max="4" width="1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28" hidden="0" customWidth="1"/>
    <x:col min="23" max="23" width="16" hidden="0" customWidth="1"/>
    <x:col min="24" max="24" width="26" hidden="0" customWidth="1"/>
  </x:cols>
  <x:sheetData>
    <x:row r="1" ht="30" customHeight="1">
      <x:c r="A1" s="4" t="str">
        <x:v>滑动摩擦磨损原始记录</x:v>
      </x:c>
      <x:c r="B1" s="4" t="str">
        <x:v>滑动摩擦磨损原始记录</x:v>
      </x:c>
      <x:c r="C1" s="4" t="str">
        <x:v>滑动摩擦磨损原始记录</x:v>
      </x:c>
      <x:c r="D1" s="4" t="str">
        <x:v>滑动摩擦磨损原始记录</x:v>
      </x:c>
      <x:c r="E1" s="4" t="str">
        <x:v>滑动摩擦磨损原始记录</x:v>
      </x:c>
      <x:c r="F1" s="4" t="str">
        <x:v>滑动摩擦磨损原始记录</x:v>
      </x:c>
      <x:c r="G1" s="4" t="str">
        <x:v>滑动摩擦磨损原始记录</x:v>
      </x:c>
      <x:c r="H1" s="4" t="str">
        <x:v>滑动摩擦磨损原始记录</x:v>
      </x:c>
      <x:c r="I1" s="4" t="str">
        <x:v>滑动摩擦磨损原始记录</x:v>
      </x:c>
      <x:c r="J1" s="4" t="str">
        <x:v>滑动摩擦磨损原始记录</x:v>
      </x:c>
      <x:c r="K1" s="4" t="str">
        <x:v>滑动摩擦磨损原始记录</x:v>
      </x:c>
      <x:c r="L1" s="4" t="str">
        <x:v>滑动摩擦磨损原始记录</x:v>
      </x:c>
      <x:c r="M1" s="4" t="str">
        <x:v>滑动摩擦磨损原始记录</x:v>
      </x:c>
      <x:c r="N1" s="4" t="str">
        <x:v>滑动摩擦磨损原始记录</x:v>
      </x:c>
      <x:c r="O1" s="4" t="str">
        <x:v>滑动摩擦磨损原始记录</x:v>
      </x:c>
      <x:c r="P1" s="4" t="str">
        <x:v>滑动摩擦磨损原始记录</x:v>
      </x:c>
      <x:c r="Q1" s="4" t="str">
        <x:v>滑动摩擦磨损原始记录</x:v>
      </x:c>
      <x:c r="R1" s="4" t="str">
        <x:v>滑动摩擦磨损原始记录</x:v>
      </x:c>
      <x:c r="S1" s="4" t="str">
        <x:v>滑动摩擦磨损原始记录</x:v>
      </x:c>
      <x:c r="T1" s="4" t="str">
        <x:v>滑动摩擦磨损原始记录</x:v>
      </x:c>
      <x:c r="U1" s="4" t="str">
        <x:v>滑动摩擦磨损原始记录</x:v>
      </x:c>
      <x:c r="V1" s="4" t="str">
        <x:v>滑动摩擦磨损原始记录</x:v>
      </x:c>
      <x:c r="W1" s="4" t="str">
        <x:v>滑动摩擦磨损原始记录</x:v>
      </x:c>
      <x:c r="X1" s="4" t="str">
        <x:v>滑动摩擦磨损原始记录</x:v>
      </x:c>
    </x:row>
    <x:row r="2" ht="30" customHeight="1">
      <x:c r="A2" s="4" t="str">
        <x:v>滑动摩擦磨损原始记录</x:v>
      </x:c>
      <x:c r="B2" s="4" t="str">
        <x:v>滑动摩擦磨损原始记录</x:v>
      </x:c>
      <x:c r="C2" s="4" t="str">
        <x:v>滑动摩擦磨损原始记录</x:v>
      </x:c>
      <x:c r="D2" s="4" t="str">
        <x:v>滑动摩擦磨损原始记录</x:v>
      </x:c>
      <x:c r="E2" s="4" t="str">
        <x:v>滑动摩擦磨损原始记录</x:v>
      </x:c>
      <x:c r="F2" s="4" t="str">
        <x:v>滑动摩擦磨损原始记录</x:v>
      </x:c>
      <x:c r="G2" s="4" t="str">
        <x:v>滑动摩擦磨损原始记录</x:v>
      </x:c>
      <x:c r="H2" s="4" t="str">
        <x:v>滑动摩擦磨损原始记录</x:v>
      </x:c>
      <x:c r="I2" s="4" t="str">
        <x:v>滑动摩擦磨损原始记录</x:v>
      </x:c>
      <x:c r="J2" s="4" t="str">
        <x:v>滑动摩擦磨损原始记录</x:v>
      </x:c>
      <x:c r="K2" s="4" t="str">
        <x:v>滑动摩擦磨损原始记录</x:v>
      </x:c>
      <x:c r="L2" s="4" t="str">
        <x:v>滑动摩擦磨损原始记录</x:v>
      </x:c>
      <x:c r="M2" s="4" t="str">
        <x:v>滑动摩擦磨损原始记录</x:v>
      </x:c>
      <x:c r="N2" s="4" t="str">
        <x:v>滑动摩擦磨损原始记录</x:v>
      </x:c>
      <x:c r="O2" s="4" t="str">
        <x:v>滑动摩擦磨损原始记录</x:v>
      </x:c>
      <x:c r="P2" s="4" t="str">
        <x:v>滑动摩擦磨损原始记录</x:v>
      </x:c>
      <x:c r="Q2" s="4" t="str">
        <x:v>滑动摩擦磨损原始记录</x:v>
      </x:c>
      <x:c r="R2" s="4" t="str">
        <x:v>滑动摩擦磨损原始记录</x:v>
      </x:c>
      <x:c r="S2" s="4" t="str">
        <x:v>滑动摩擦磨损原始记录</x:v>
      </x:c>
      <x:c r="T2" s="4" t="str">
        <x:v>滑动摩擦磨损原始记录</x:v>
      </x:c>
      <x:c r="U2" s="4" t="str">
        <x:v>滑动摩擦磨损原始记录</x:v>
      </x:c>
      <x:c r="V2" s="4" t="str">
        <x:v>滑动摩擦磨损原始记录</x:v>
      </x:c>
      <x:c r="W2" s="4" t="str">
        <x:v>滑动摩擦磨损原始记录</x:v>
      </x:c>
      <x:c r="X2" s="4" t="str">
        <x:v>滑动摩擦磨损原始记录</x:v>
      </x:c>
    </x:row>
    <x:row r="4" ht="34" customHeight="1">
      <x:c r="A4" s="32" t="str">
        <x:v>record_id</x:v>
      </x:c>
      <x:c r="B4" s="32" t="str">
        <x:v>sample_id</x:v>
      </x:c>
      <x:c r="C4" s="32" t="str">
        <x:v>aging_condition_id</x:v>
      </x:c>
      <x:c r="D4" s="32" t="str">
        <x:v>test_date</x:v>
      </x:c>
      <x:c r="E4" s="32" t="str">
        <x:v>operator_code</x:v>
      </x:c>
      <x:c r="F4" s="32" t="str">
        <x:v>normal_load_N</x:v>
      </x:c>
      <x:c r="G4" s="32" t="str">
        <x:v>sliding_speed_m_s</x:v>
      </x:c>
      <x:c r="H4" s="32" t="str">
        <x:v>duration_s</x:v>
      </x:c>
      <x:c r="I4" s="32" t="str">
        <x:v>sliding_distance_m</x:v>
      </x:c>
      <x:c r="J4" s="32" t="str">
        <x:v>friction_force_mean_N</x:v>
      </x:c>
      <x:c r="K4" s="32" t="str">
        <x:v>friction_coefficient</x:v>
      </x:c>
      <x:c r="L4" s="32" t="str">
        <x:v>mass_before_mg</x:v>
      </x:c>
      <x:c r="M4" s="32" t="str">
        <x:v>mass_after_mg</x:v>
      </x:c>
      <x:c r="N4" s="32" t="str">
        <x:v>mass_loss_mg</x:v>
      </x:c>
      <x:c r="O4" s="32" t="str">
        <x:v>wear_rate_mg_per_Nm</x:v>
      </x:c>
      <x:c r="P4" s="32" t="str">
        <x:v>surface_temp_C</x:v>
      </x:c>
      <x:c r="Q4" s="32" t="str">
        <x:v>ambient_temp_C</x:v>
      </x:c>
      <x:c r="R4" s="32" t="str">
        <x:v>relative_humidity_pct</x:v>
      </x:c>
      <x:c r="S4" s="32" t="str">
        <x:v>counterface_material</x:v>
      </x:c>
      <x:c r="T4" s="32" t="str">
        <x:v>equipment_code</x:v>
      </x:c>
      <x:c r="U4" s="32" t="str">
        <x:v>repetition_no</x:v>
      </x:c>
      <x:c r="V4" s="32" t="str">
        <x:v>source_file</x:v>
      </x:c>
      <x:c r="W4" s="32" t="str">
        <x:v>qc_flag</x:v>
      </x:c>
      <x:c r="X4" s="32" t="str">
        <x:v>notes</x:v>
      </x:c>
    </x:row>
    <x:row r="5">
      <x:c r="A5" s="12" t="str">
        <x:v>DEMO-WEAR-20260810-001</x:v>
      </x:c>
      <x:c r="B5" s="12" t="str">
        <x:v>DEMO-TIR-B01-AGE0H-R01</x:v>
      </x:c>
      <x:c r="C5" s="12" t="str">
        <x:v>AGE-100C-0H</x:v>
      </x:c>
      <x:c r="D5" s="36" t="n">
        <x:v>46244</x:v>
      </x:c>
      <x:c r="E5" s="12" t="str">
        <x:v>OP-A</x:v>
      </x:c>
      <x:c r="F5" s="48" t="n">
        <x:v>300</x:v>
      </x:c>
      <x:c r="G5" s="48" t="n">
        <x:v>0.5</x:v>
      </x:c>
      <x:c r="H5" s="48" t="n">
        <x:v>600</x:v>
      </x:c>
      <x:c r="I5" s="49" t="n">
        <x:f>IF(OR(G5="",H5=""),"",G5*H5)</x:f>
        <x:v>300</x:v>
      </x:c>
      <x:c r="J5" s="48" t="n">
        <x:v>180</x:v>
      </x:c>
      <x:c r="K5" s="49" t="n">
        <x:f>IFERROR(J5/F5,"")</x:f>
        <x:v>0.6</x:v>
      </x:c>
      <x:c r="L5" s="48" t="n">
        <x:v>25000</x:v>
      </x:c>
      <x:c r="M5" s="48" t="n">
        <x:v>24982</x:v>
      </x:c>
      <x:c r="N5" s="49" t="n">
        <x:f>IF(OR(L5="",M5=""),"",L5-M5)</x:f>
        <x:v>18</x:v>
      </x:c>
      <x:c r="O5" s="49" t="n">
        <x:f>IFERROR(N5/(F5*I5),"")</x:f>
        <x:v>0.0002</x:v>
      </x:c>
      <x:c r="P5" s="54" t="n">
        <x:v>52</x:v>
      </x:c>
      <x:c r="Q5" s="54" t="n">
        <x:v>25</x:v>
      </x:c>
      <x:c r="R5" s="54" t="n">
        <x:v>45</x:v>
      </x:c>
      <x:c r="S5" s="12" t="str">
        <x:v>steel</x:v>
      </x:c>
      <x:c r="T5" s="12" t="str">
        <x:v>TRIBO-A</x:v>
      </x:c>
      <x:c r="U5" s="12" t="n">
        <x:v>1</x:v>
      </x:c>
      <x:c r="V5" s="12" t="str">
        <x:v>attachments/demo-001.csv</x:v>
      </x:c>
      <x:c r="W5" s="12" t="str">
        <x:v>pass</x:v>
      </x:c>
      <x:c r="X5" s="12" t="str">
        <x:v>示例数据</x:v>
      </x:c>
    </x:row>
    <x:row r="6">
      <x:c r="A6" s="13" t="str">
        <x:v>DEMO-WEAR-20260810-002</x:v>
      </x:c>
      <x:c r="B6" s="13" t="str">
        <x:v>DEMO-TIR-B01-AGE72H-R01</x:v>
      </x:c>
      <x:c r="C6" s="13" t="str">
        <x:v>AGE-100C-72H</x:v>
      </x:c>
      <x:c r="D6" s="37" t="n">
        <x:v>46244</x:v>
      </x:c>
      <x:c r="E6" s="13" t="str">
        <x:v>OP-A</x:v>
      </x:c>
      <x:c r="F6" s="50" t="n">
        <x:v>300</x:v>
      </x:c>
      <x:c r="G6" s="50" t="n">
        <x:v>0.5</x:v>
      </x:c>
      <x:c r="H6" s="50" t="n">
        <x:v>600</x:v>
      </x:c>
      <x:c r="I6" s="51" t="n">
        <x:f>IF(OR(G6="",H6=""),"",G6*H6)</x:f>
        <x:v>300</x:v>
      </x:c>
      <x:c r="J6" s="50" t="n">
        <x:v>195</x:v>
      </x:c>
      <x:c r="K6" s="51" t="n">
        <x:f>IFERROR(J6/F6,"")</x:f>
        <x:v>0.65</x:v>
      </x:c>
      <x:c r="L6" s="50" t="n">
        <x:v>25010</x:v>
      </x:c>
      <x:c r="M6" s="50" t="n">
        <x:v>24987</x:v>
      </x:c>
      <x:c r="N6" s="51" t="n">
        <x:f>IF(OR(L6="",M6=""),"",L6-M6)</x:f>
        <x:v>23</x:v>
      </x:c>
      <x:c r="O6" s="51" t="n">
        <x:f>IFERROR(N6/(F6*I6),"")</x:f>
        <x:v>0.0002555555555555556</x:v>
      </x:c>
      <x:c r="P6" s="55" t="n">
        <x:v>58</x:v>
      </x:c>
      <x:c r="Q6" s="55" t="n">
        <x:v>25</x:v>
      </x:c>
      <x:c r="R6" s="55" t="n">
        <x:v>45</x:v>
      </x:c>
      <x:c r="S6" s="13" t="str">
        <x:v>steel</x:v>
      </x:c>
      <x:c r="T6" s="13" t="str">
        <x:v>TRIBO-A</x:v>
      </x:c>
      <x:c r="U6" s="13" t="n">
        <x:v>1</x:v>
      </x:c>
      <x:c r="V6" s="13" t="str">
        <x:v>attachments/demo-002.csv</x:v>
      </x:c>
      <x:c r="W6" s="13" t="str">
        <x:v>pass</x:v>
      </x:c>
      <x:c r="X6" s="13" t="str">
        <x:v>示例数据</x:v>
      </x:c>
    </x:row>
    <x:row r="7">
      <x:c r="A7" s="13" t="str">
        <x:v>DEMO-WEAR-20260810-003</x:v>
      </x:c>
      <x:c r="B7" s="13" t="str">
        <x:v>DEMO-TIR-B01-AGE168H-R01</x:v>
      </x:c>
      <x:c r="C7" s="13" t="str">
        <x:v>AGE-100C-168H</x:v>
      </x:c>
      <x:c r="D7" s="37" t="n">
        <x:v>46244</x:v>
      </x:c>
      <x:c r="E7" s="13" t="str">
        <x:v>OP-A</x:v>
      </x:c>
      <x:c r="F7" s="50" t="n">
        <x:v>300</x:v>
      </x:c>
      <x:c r="G7" s="50" t="n">
        <x:v>0.5</x:v>
      </x:c>
      <x:c r="H7" s="50" t="n">
        <x:v>600</x:v>
      </x:c>
      <x:c r="I7" s="51" t="n">
        <x:f>IF(OR(G7="",H7=""),"",G7*H7)</x:f>
        <x:v>300</x:v>
      </x:c>
      <x:c r="J7" s="50" t="n">
        <x:v>210</x:v>
      </x:c>
      <x:c r="K7" s="51" t="n">
        <x:f>IFERROR(J7/F7,"")</x:f>
        <x:v>0.7</x:v>
      </x:c>
      <x:c r="L7" s="50" t="n">
        <x:v>25020</x:v>
      </x:c>
      <x:c r="M7" s="50" t="n">
        <x:v>24989</x:v>
      </x:c>
      <x:c r="N7" s="51" t="n">
        <x:f>IF(OR(L7="",M7=""),"",L7-M7)</x:f>
        <x:v>31</x:v>
      </x:c>
      <x:c r="O7" s="51" t="n">
        <x:f>IFERROR(N7/(F7*I7),"")</x:f>
        <x:v>0.0003444444444444444</x:v>
      </x:c>
      <x:c r="P7" s="55" t="n">
        <x:v>64</x:v>
      </x:c>
      <x:c r="Q7" s="55" t="n">
        <x:v>25</x:v>
      </x:c>
      <x:c r="R7" s="55" t="n">
        <x:v>45</x:v>
      </x:c>
      <x:c r="S7" s="13" t="str">
        <x:v>steel</x:v>
      </x:c>
      <x:c r="T7" s="13" t="str">
        <x:v>TRIBO-A</x:v>
      </x:c>
      <x:c r="U7" s="13" t="n">
        <x:v>1</x:v>
      </x:c>
      <x:c r="V7" s="13" t="str">
        <x:v>attachments/demo-003.csv</x:v>
      </x:c>
      <x:c r="W7" s="13" t="str">
        <x:v>pass</x:v>
      </x:c>
      <x:c r="X7" s="13" t="str">
        <x:v>示例数据</x:v>
      </x:c>
    </x:row>
    <x:row r="8">
      <x:c r="A8" s="13" t="str">
        <x:v>DEMO-WEAR-20260810-004</x:v>
      </x:c>
      <x:c r="B8" s="13" t="str">
        <x:v>DEMO-TIR-B01-AGE168H-R01</x:v>
      </x:c>
      <x:c r="C8" s="13" t="str">
        <x:v>AGE-100C-168H</x:v>
      </x:c>
      <x:c r="D8" s="37" t="n">
        <x:v>46244</x:v>
      </x:c>
      <x:c r="E8" s="13" t="str">
        <x:v>OP-A</x:v>
      </x:c>
      <x:c r="F8" s="50" t="n">
        <x:v>300</x:v>
      </x:c>
      <x:c r="G8" s="50" t="n">
        <x:v>0.5</x:v>
      </x:c>
      <x:c r="H8" s="50" t="n">
        <x:v>600</x:v>
      </x:c>
      <x:c r="I8" s="51" t="n">
        <x:f>IF(OR(G8="",H8=""),"",G8*H8)</x:f>
        <x:v>300</x:v>
      </x:c>
      <x:c r="J8" s="50" t="n">
        <x:v>260</x:v>
      </x:c>
      <x:c r="K8" s="51" t="n">
        <x:f>IFERROR(J8/F8,"")</x:f>
        <x:v>0.8666666666666667</x:v>
      </x:c>
      <x:c r="L8" s="50" t="n">
        <x:v>25015</x:v>
      </x:c>
      <x:c r="M8" s="50" t="n">
        <x:v>24970</x:v>
      </x:c>
      <x:c r="N8" s="51" t="n">
        <x:f>IF(OR(L8="",M8=""),"",L8-M8)</x:f>
        <x:v>45</x:v>
      </x:c>
      <x:c r="O8" s="51" t="n">
        <x:f>IFERROR(N8/(F8*I8),"")</x:f>
        <x:v>0.0005</x:v>
      </x:c>
      <x:c r="P8" s="55" t="n">
        <x:v>80</x:v>
      </x:c>
      <x:c r="Q8" s="55" t="n">
        <x:v>25</x:v>
      </x:c>
      <x:c r="R8" s="55" t="n">
        <x:v>45</x:v>
      </x:c>
      <x:c r="S8" s="13" t="str">
        <x:v>steel</x:v>
      </x:c>
      <x:c r="T8" s="13" t="str">
        <x:v>TRIBO-A</x:v>
      </x:c>
      <x:c r="U8" s="13" t="n">
        <x:v>2</x:v>
      </x:c>
      <x:c r="V8" s="13" t="str">
        <x:v>attachments/demo-004.csv</x:v>
      </x:c>
      <x:c r="W8" s="13" t="str">
        <x:v>review</x:v>
      </x:c>
      <x:c r="X8" s="13" t="str">
        <x:v>示例：仪器波动，待复核且不计入均值</x:v>
      </x:c>
    </x:row>
    <x:row r="9">
      <x:c r="A9" s="13"/>
      <x:c r="B9" s="13"/>
      <x:c r="C9" s="13"/>
      <x:c r="D9" s="37"/>
      <x:c r="E9" s="13"/>
      <x:c r="F9" s="50"/>
      <x:c r="G9" s="50"/>
      <x:c r="H9" s="50"/>
      <x:c r="I9" s="51" t="str">
        <x:f>IF(OR(G9="",H9=""),"",G9*H9)</x:f>
      </x:c>
      <x:c r="J9" s="50"/>
      <x:c r="K9" s="51" t="str">
        <x:f>IFERROR(J9/F9,"")</x:f>
      </x:c>
      <x:c r="L9" s="50"/>
      <x:c r="M9" s="50"/>
      <x:c r="N9" s="51" t="str">
        <x:f>IF(OR(L9="",M9=""),"",L9-M9)</x:f>
      </x:c>
      <x:c r="O9" s="51" t="str">
        <x:f>IFERROR(N9/(F9*I9),"")</x:f>
      </x:c>
      <x:c r="P9" s="55"/>
      <x:c r="Q9" s="55"/>
      <x:c r="R9" s="55"/>
      <x:c r="S9" s="13"/>
      <x:c r="T9" s="13"/>
      <x:c r="U9" s="13"/>
      <x:c r="V9" s="13"/>
      <x:c r="W9" s="13"/>
      <x:c r="X9" s="13"/>
    </x:row>
    <x:row r="10">
      <x:c r="A10" s="13"/>
      <x:c r="B10" s="13"/>
      <x:c r="C10" s="13"/>
      <x:c r="D10" s="37"/>
      <x:c r="E10" s="13"/>
      <x:c r="F10" s="50"/>
      <x:c r="G10" s="50"/>
      <x:c r="H10" s="50"/>
      <x:c r="I10" s="51" t="str">
        <x:f>IF(OR(G10="",H10=""),"",G10*H10)</x:f>
      </x:c>
      <x:c r="J10" s="50"/>
      <x:c r="K10" s="51" t="str">
        <x:f>IFERROR(J10/F10,"")</x:f>
      </x:c>
      <x:c r="L10" s="50"/>
      <x:c r="M10" s="50"/>
      <x:c r="N10" s="51" t="str">
        <x:f>IF(OR(L10="",M10=""),"",L10-M10)</x:f>
      </x:c>
      <x:c r="O10" s="51" t="str">
        <x:f>IFERROR(N10/(F10*I10),"")</x:f>
      </x:c>
      <x:c r="P10" s="55"/>
      <x:c r="Q10" s="55"/>
      <x:c r="R10" s="55"/>
      <x:c r="S10" s="13"/>
      <x:c r="T10" s="13"/>
      <x:c r="U10" s="13"/>
      <x:c r="V10" s="13"/>
      <x:c r="W10" s="13"/>
      <x:c r="X10" s="13"/>
    </x:row>
    <x:row r="11">
      <x:c r="A11" s="13"/>
      <x:c r="B11" s="13"/>
      <x:c r="C11" s="13"/>
      <x:c r="D11" s="37"/>
      <x:c r="E11" s="13"/>
      <x:c r="F11" s="50"/>
      <x:c r="G11" s="50"/>
      <x:c r="H11" s="50"/>
      <x:c r="I11" s="51" t="str">
        <x:f>IF(OR(G11="",H11=""),"",G11*H11)</x:f>
      </x:c>
      <x:c r="J11" s="50"/>
      <x:c r="K11" s="51" t="str">
        <x:f>IFERROR(J11/F11,"")</x:f>
      </x:c>
      <x:c r="L11" s="50"/>
      <x:c r="M11" s="50"/>
      <x:c r="N11" s="51" t="str">
        <x:f>IF(OR(L11="",M11=""),"",L11-M11)</x:f>
      </x:c>
      <x:c r="O11" s="51" t="str">
        <x:f>IFERROR(N11/(F11*I11),"")</x:f>
      </x:c>
      <x:c r="P11" s="55"/>
      <x:c r="Q11" s="55"/>
      <x:c r="R11" s="55"/>
      <x:c r="S11" s="13"/>
      <x:c r="T11" s="13"/>
      <x:c r="U11" s="13"/>
      <x:c r="V11" s="13"/>
      <x:c r="W11" s="13"/>
      <x:c r="X11" s="13"/>
    </x:row>
    <x:row r="12">
      <x:c r="A12" s="13"/>
      <x:c r="B12" s="13"/>
      <x:c r="C12" s="13"/>
      <x:c r="D12" s="37"/>
      <x:c r="E12" s="13"/>
      <x:c r="F12" s="50"/>
      <x:c r="G12" s="50"/>
      <x:c r="H12" s="50"/>
      <x:c r="I12" s="51" t="str">
        <x:f>IF(OR(G12="",H12=""),"",G12*H12)</x:f>
      </x:c>
      <x:c r="J12" s="50"/>
      <x:c r="K12" s="51" t="str">
        <x:f>IFERROR(J12/F12,"")</x:f>
      </x:c>
      <x:c r="L12" s="50"/>
      <x:c r="M12" s="50"/>
      <x:c r="N12" s="51" t="str">
        <x:f>IF(OR(L12="",M12=""),"",L12-M12)</x:f>
      </x:c>
      <x:c r="O12" s="51" t="str">
        <x:f>IFERROR(N12/(F12*I12),"")</x:f>
      </x:c>
      <x:c r="P12" s="55"/>
      <x:c r="Q12" s="55"/>
      <x:c r="R12" s="55"/>
      <x:c r="S12" s="13"/>
      <x:c r="T12" s="13"/>
      <x:c r="U12" s="13"/>
      <x:c r="V12" s="13"/>
      <x:c r="W12" s="13"/>
      <x:c r="X12" s="13"/>
    </x:row>
    <x:row r="13">
      <x:c r="A13" s="13"/>
      <x:c r="B13" s="13"/>
      <x:c r="C13" s="13"/>
      <x:c r="D13" s="37"/>
      <x:c r="E13" s="13"/>
      <x:c r="F13" s="50"/>
      <x:c r="G13" s="50"/>
      <x:c r="H13" s="50"/>
      <x:c r="I13" s="51" t="str">
        <x:f>IF(OR(G13="",H13=""),"",G13*H13)</x:f>
      </x:c>
      <x:c r="J13" s="50"/>
      <x:c r="K13" s="51" t="str">
        <x:f>IFERROR(J13/F13,"")</x:f>
      </x:c>
      <x:c r="L13" s="50"/>
      <x:c r="M13" s="50"/>
      <x:c r="N13" s="51" t="str">
        <x:f>IF(OR(L13="",M13=""),"",L13-M13)</x:f>
      </x:c>
      <x:c r="O13" s="51" t="str">
        <x:f>IFERROR(N13/(F13*I13),"")</x:f>
      </x:c>
      <x:c r="P13" s="55"/>
      <x:c r="Q13" s="55"/>
      <x:c r="R13" s="55"/>
      <x:c r="S13" s="13"/>
      <x:c r="T13" s="13"/>
      <x:c r="U13" s="13"/>
      <x:c r="V13" s="13"/>
      <x:c r="W13" s="13"/>
      <x:c r="X13" s="13"/>
    </x:row>
    <x:row r="14">
      <x:c r="A14" s="13"/>
      <x:c r="B14" s="13"/>
      <x:c r="C14" s="13"/>
      <x:c r="D14" s="37"/>
      <x:c r="E14" s="13"/>
      <x:c r="F14" s="50"/>
      <x:c r="G14" s="50"/>
      <x:c r="H14" s="50"/>
      <x:c r="I14" s="51" t="str">
        <x:f>IF(OR(G14="",H14=""),"",G14*H14)</x:f>
      </x:c>
      <x:c r="J14" s="50"/>
      <x:c r="K14" s="51" t="str">
        <x:f>IFERROR(J14/F14,"")</x:f>
      </x:c>
      <x:c r="L14" s="50"/>
      <x:c r="M14" s="50"/>
      <x:c r="N14" s="51" t="str">
        <x:f>IF(OR(L14="",M14=""),"",L14-M14)</x:f>
      </x:c>
      <x:c r="O14" s="51" t="str">
        <x:f>IFERROR(N14/(F14*I14),"")</x:f>
      </x:c>
      <x:c r="P14" s="55"/>
      <x:c r="Q14" s="55"/>
      <x:c r="R14" s="55"/>
      <x:c r="S14" s="13"/>
      <x:c r="T14" s="13"/>
      <x:c r="U14" s="13"/>
      <x:c r="V14" s="13"/>
      <x:c r="W14" s="13"/>
      <x:c r="X14" s="13"/>
    </x:row>
    <x:row r="15">
      <x:c r="A15" s="13"/>
      <x:c r="B15" s="13"/>
      <x:c r="C15" s="13"/>
      <x:c r="D15" s="37"/>
      <x:c r="E15" s="13"/>
      <x:c r="F15" s="50"/>
      <x:c r="G15" s="50"/>
      <x:c r="H15" s="50"/>
      <x:c r="I15" s="51" t="str">
        <x:f>IF(OR(G15="",H15=""),"",G15*H15)</x:f>
      </x:c>
      <x:c r="J15" s="50"/>
      <x:c r="K15" s="51" t="str">
        <x:f>IFERROR(J15/F15,"")</x:f>
      </x:c>
      <x:c r="L15" s="50"/>
      <x:c r="M15" s="50"/>
      <x:c r="N15" s="51" t="str">
        <x:f>IF(OR(L15="",M15=""),"",L15-M15)</x:f>
      </x:c>
      <x:c r="O15" s="51" t="str">
        <x:f>IFERROR(N15/(F15*I15),"")</x:f>
      </x:c>
      <x:c r="P15" s="55"/>
      <x:c r="Q15" s="55"/>
      <x:c r="R15" s="55"/>
      <x:c r="S15" s="13"/>
      <x:c r="T15" s="13"/>
      <x:c r="U15" s="13"/>
      <x:c r="V15" s="13"/>
      <x:c r="W15" s="13"/>
      <x:c r="X15" s="13"/>
    </x:row>
    <x:row r="16">
      <x:c r="A16" s="13"/>
      <x:c r="B16" s="13"/>
      <x:c r="C16" s="13"/>
      <x:c r="D16" s="37"/>
      <x:c r="E16" s="13"/>
      <x:c r="F16" s="50"/>
      <x:c r="G16" s="50"/>
      <x:c r="H16" s="50"/>
      <x:c r="I16" s="51" t="str">
        <x:f>IF(OR(G16="",H16=""),"",G16*H16)</x:f>
      </x:c>
      <x:c r="J16" s="50"/>
      <x:c r="K16" s="51" t="str">
        <x:f>IFERROR(J16/F16,"")</x:f>
      </x:c>
      <x:c r="L16" s="50"/>
      <x:c r="M16" s="50"/>
      <x:c r="N16" s="51" t="str">
        <x:f>IF(OR(L16="",M16=""),"",L16-M16)</x:f>
      </x:c>
      <x:c r="O16" s="51" t="str">
        <x:f>IFERROR(N16/(F16*I16),"")</x:f>
      </x:c>
      <x:c r="P16" s="55"/>
      <x:c r="Q16" s="55"/>
      <x:c r="R16" s="55"/>
      <x:c r="S16" s="13"/>
      <x:c r="T16" s="13"/>
      <x:c r="U16" s="13"/>
      <x:c r="V16" s="13"/>
      <x:c r="W16" s="13"/>
      <x:c r="X16" s="13"/>
    </x:row>
    <x:row r="17">
      <x:c r="A17" s="13"/>
      <x:c r="B17" s="13"/>
      <x:c r="C17" s="13"/>
      <x:c r="D17" s="37"/>
      <x:c r="E17" s="13"/>
      <x:c r="F17" s="50"/>
      <x:c r="G17" s="50"/>
      <x:c r="H17" s="50"/>
      <x:c r="I17" s="51" t="str">
        <x:f>IF(OR(G17="",H17=""),"",G17*H17)</x:f>
      </x:c>
      <x:c r="J17" s="50"/>
      <x:c r="K17" s="51" t="str">
        <x:f>IFERROR(J17/F17,"")</x:f>
      </x:c>
      <x:c r="L17" s="50"/>
      <x:c r="M17" s="50"/>
      <x:c r="N17" s="51" t="str">
        <x:f>IF(OR(L17="",M17=""),"",L17-M17)</x:f>
      </x:c>
      <x:c r="O17" s="51" t="str">
        <x:f>IFERROR(N17/(F17*I17),"")</x:f>
      </x:c>
      <x:c r="P17" s="55"/>
      <x:c r="Q17" s="55"/>
      <x:c r="R17" s="55"/>
      <x:c r="S17" s="13"/>
      <x:c r="T17" s="13"/>
      <x:c r="U17" s="13"/>
      <x:c r="V17" s="13"/>
      <x:c r="W17" s="13"/>
      <x:c r="X17" s="13"/>
    </x:row>
    <x:row r="18">
      <x:c r="A18" s="13"/>
      <x:c r="B18" s="13"/>
      <x:c r="C18" s="13"/>
      <x:c r="D18" s="37"/>
      <x:c r="E18" s="13"/>
      <x:c r="F18" s="50"/>
      <x:c r="G18" s="50"/>
      <x:c r="H18" s="50"/>
      <x:c r="I18" s="51" t="str">
        <x:f>IF(OR(G18="",H18=""),"",G18*H18)</x:f>
      </x:c>
      <x:c r="J18" s="50"/>
      <x:c r="K18" s="51" t="str">
        <x:f>IFERROR(J18/F18,"")</x:f>
      </x:c>
      <x:c r="L18" s="50"/>
      <x:c r="M18" s="50"/>
      <x:c r="N18" s="51" t="str">
        <x:f>IF(OR(L18="",M18=""),"",L18-M18)</x:f>
      </x:c>
      <x:c r="O18" s="51" t="str">
        <x:f>IFERROR(N18/(F18*I18),"")</x:f>
      </x:c>
      <x:c r="P18" s="55"/>
      <x:c r="Q18" s="55"/>
      <x:c r="R18" s="55"/>
      <x:c r="S18" s="13"/>
      <x:c r="T18" s="13"/>
      <x:c r="U18" s="13"/>
      <x:c r="V18" s="13"/>
      <x:c r="W18" s="13"/>
      <x:c r="X18" s="13"/>
    </x:row>
    <x:row r="19">
      <x:c r="A19" s="13"/>
      <x:c r="B19" s="13"/>
      <x:c r="C19" s="13"/>
      <x:c r="D19" s="37"/>
      <x:c r="E19" s="13"/>
      <x:c r="F19" s="50"/>
      <x:c r="G19" s="50"/>
      <x:c r="H19" s="50"/>
      <x:c r="I19" s="51" t="str">
        <x:f>IF(OR(G19="",H19=""),"",G19*H19)</x:f>
      </x:c>
      <x:c r="J19" s="50"/>
      <x:c r="K19" s="51" t="str">
        <x:f>IFERROR(J19/F19,"")</x:f>
      </x:c>
      <x:c r="L19" s="50"/>
      <x:c r="M19" s="50"/>
      <x:c r="N19" s="51" t="str">
        <x:f>IF(OR(L19="",M19=""),"",L19-M19)</x:f>
      </x:c>
      <x:c r="O19" s="51" t="str">
        <x:f>IFERROR(N19/(F19*I19),"")</x:f>
      </x:c>
      <x:c r="P19" s="55"/>
      <x:c r="Q19" s="55"/>
      <x:c r="R19" s="55"/>
      <x:c r="S19" s="13"/>
      <x:c r="T19" s="13"/>
      <x:c r="U19" s="13"/>
      <x:c r="V19" s="13"/>
      <x:c r="W19" s="13"/>
      <x:c r="X19" s="13"/>
    </x:row>
    <x:row r="20">
      <x:c r="A20" s="13"/>
      <x:c r="B20" s="13"/>
      <x:c r="C20" s="13"/>
      <x:c r="D20" s="37"/>
      <x:c r="E20" s="13"/>
      <x:c r="F20" s="50"/>
      <x:c r="G20" s="50"/>
      <x:c r="H20" s="50"/>
      <x:c r="I20" s="51" t="str">
        <x:f>IF(OR(G20="",H20=""),"",G20*H20)</x:f>
      </x:c>
      <x:c r="J20" s="50"/>
      <x:c r="K20" s="51" t="str">
        <x:f>IFERROR(J20/F20,"")</x:f>
      </x:c>
      <x:c r="L20" s="50"/>
      <x:c r="M20" s="50"/>
      <x:c r="N20" s="51" t="str">
        <x:f>IF(OR(L20="",M20=""),"",L20-M20)</x:f>
      </x:c>
      <x:c r="O20" s="51" t="str">
        <x:f>IFERROR(N20/(F20*I20),"")</x:f>
      </x:c>
      <x:c r="P20" s="55"/>
      <x:c r="Q20" s="55"/>
      <x:c r="R20" s="55"/>
      <x:c r="S20" s="13"/>
      <x:c r="T20" s="13"/>
      <x:c r="U20" s="13"/>
      <x:c r="V20" s="13"/>
      <x:c r="W20" s="13"/>
      <x:c r="X20" s="13"/>
    </x:row>
    <x:row r="21">
      <x:c r="A21" s="13"/>
      <x:c r="B21" s="13"/>
      <x:c r="C21" s="13"/>
      <x:c r="D21" s="37"/>
      <x:c r="E21" s="13"/>
      <x:c r="F21" s="50"/>
      <x:c r="G21" s="50"/>
      <x:c r="H21" s="50"/>
      <x:c r="I21" s="51" t="str">
        <x:f>IF(OR(G21="",H21=""),"",G21*H21)</x:f>
      </x:c>
      <x:c r="J21" s="50"/>
      <x:c r="K21" s="51" t="str">
        <x:f>IFERROR(J21/F21,"")</x:f>
      </x:c>
      <x:c r="L21" s="50"/>
      <x:c r="M21" s="50"/>
      <x:c r="N21" s="51" t="str">
        <x:f>IF(OR(L21="",M21=""),"",L21-M21)</x:f>
      </x:c>
      <x:c r="O21" s="51" t="str">
        <x:f>IFERROR(N21/(F21*I21),"")</x:f>
      </x:c>
      <x:c r="P21" s="55"/>
      <x:c r="Q21" s="55"/>
      <x:c r="R21" s="55"/>
      <x:c r="S21" s="13"/>
      <x:c r="T21" s="13"/>
      <x:c r="U21" s="13"/>
      <x:c r="V21" s="13"/>
      <x:c r="W21" s="13"/>
      <x:c r="X21" s="13"/>
    </x:row>
    <x:row r="22">
      <x:c r="A22" s="13"/>
      <x:c r="B22" s="13"/>
      <x:c r="C22" s="13"/>
      <x:c r="D22" s="37"/>
      <x:c r="E22" s="13"/>
      <x:c r="F22" s="50"/>
      <x:c r="G22" s="50"/>
      <x:c r="H22" s="50"/>
      <x:c r="I22" s="51" t="str">
        <x:f>IF(OR(G22="",H22=""),"",G22*H22)</x:f>
      </x:c>
      <x:c r="J22" s="50"/>
      <x:c r="K22" s="51" t="str">
        <x:f>IFERROR(J22/F22,"")</x:f>
      </x:c>
      <x:c r="L22" s="50"/>
      <x:c r="M22" s="50"/>
      <x:c r="N22" s="51" t="str">
        <x:f>IF(OR(L22="",M22=""),"",L22-M22)</x:f>
      </x:c>
      <x:c r="O22" s="51" t="str">
        <x:f>IFERROR(N22/(F22*I22),"")</x:f>
      </x:c>
      <x:c r="P22" s="55"/>
      <x:c r="Q22" s="55"/>
      <x:c r="R22" s="55"/>
      <x:c r="S22" s="13"/>
      <x:c r="T22" s="13"/>
      <x:c r="U22" s="13"/>
      <x:c r="V22" s="13"/>
      <x:c r="W22" s="13"/>
      <x:c r="X22" s="13"/>
    </x:row>
    <x:row r="23">
      <x:c r="A23" s="13"/>
      <x:c r="B23" s="13"/>
      <x:c r="C23" s="13"/>
      <x:c r="D23" s="37"/>
      <x:c r="E23" s="13"/>
      <x:c r="F23" s="50"/>
      <x:c r="G23" s="50"/>
      <x:c r="H23" s="50"/>
      <x:c r="I23" s="51" t="str">
        <x:f>IF(OR(G23="",H23=""),"",G23*H23)</x:f>
      </x:c>
      <x:c r="J23" s="50"/>
      <x:c r="K23" s="51" t="str">
        <x:f>IFERROR(J23/F23,"")</x:f>
      </x:c>
      <x:c r="L23" s="50"/>
      <x:c r="M23" s="50"/>
      <x:c r="N23" s="51" t="str">
        <x:f>IF(OR(L23="",M23=""),"",L23-M23)</x:f>
      </x:c>
      <x:c r="O23" s="51" t="str">
        <x:f>IFERROR(N23/(F23*I23),"")</x:f>
      </x:c>
      <x:c r="P23" s="55"/>
      <x:c r="Q23" s="55"/>
      <x:c r="R23" s="55"/>
      <x:c r="S23" s="13"/>
      <x:c r="T23" s="13"/>
      <x:c r="U23" s="13"/>
      <x:c r="V23" s="13"/>
      <x:c r="W23" s="13"/>
      <x:c r="X23" s="13"/>
    </x:row>
    <x:row r="24">
      <x:c r="A24" s="13"/>
      <x:c r="B24" s="13"/>
      <x:c r="C24" s="13"/>
      <x:c r="D24" s="37"/>
      <x:c r="E24" s="13"/>
      <x:c r="F24" s="50"/>
      <x:c r="G24" s="50"/>
      <x:c r="H24" s="50"/>
      <x:c r="I24" s="51" t="str">
        <x:f>IF(OR(G24="",H24=""),"",G24*H24)</x:f>
      </x:c>
      <x:c r="J24" s="50"/>
      <x:c r="K24" s="51" t="str">
        <x:f>IFERROR(J24/F24,"")</x:f>
      </x:c>
      <x:c r="L24" s="50"/>
      <x:c r="M24" s="50"/>
      <x:c r="N24" s="51" t="str">
        <x:f>IF(OR(L24="",M24=""),"",L24-M24)</x:f>
      </x:c>
      <x:c r="O24" s="51" t="str">
        <x:f>IFERROR(N24/(F24*I24),"")</x:f>
      </x:c>
      <x:c r="P24" s="55"/>
      <x:c r="Q24" s="55"/>
      <x:c r="R24" s="55"/>
      <x:c r="S24" s="13"/>
      <x:c r="T24" s="13"/>
      <x:c r="U24" s="13"/>
      <x:c r="V24" s="13"/>
      <x:c r="W24" s="13"/>
      <x:c r="X24" s="13"/>
    </x:row>
    <x:row r="25">
      <x:c r="A25" s="13"/>
      <x:c r="B25" s="13"/>
      <x:c r="C25" s="13"/>
      <x:c r="D25" s="37"/>
      <x:c r="E25" s="13"/>
      <x:c r="F25" s="50"/>
      <x:c r="G25" s="50"/>
      <x:c r="H25" s="50"/>
      <x:c r="I25" s="51" t="str">
        <x:f>IF(OR(G25="",H25=""),"",G25*H25)</x:f>
      </x:c>
      <x:c r="J25" s="50"/>
      <x:c r="K25" s="51" t="str">
        <x:f>IFERROR(J25/F25,"")</x:f>
      </x:c>
      <x:c r="L25" s="50"/>
      <x:c r="M25" s="50"/>
      <x:c r="N25" s="51" t="str">
        <x:f>IF(OR(L25="",M25=""),"",L25-M25)</x:f>
      </x:c>
      <x:c r="O25" s="51" t="str">
        <x:f>IFERROR(N25/(F25*I25),"")</x:f>
      </x:c>
      <x:c r="P25" s="55"/>
      <x:c r="Q25" s="55"/>
      <x:c r="R25" s="55"/>
      <x:c r="S25" s="13"/>
      <x:c r="T25" s="13"/>
      <x:c r="U25" s="13"/>
      <x:c r="V25" s="13"/>
      <x:c r="W25" s="13"/>
      <x:c r="X25" s="13"/>
    </x:row>
    <x:row r="26">
      <x:c r="A26" s="13"/>
      <x:c r="B26" s="13"/>
      <x:c r="C26" s="13"/>
      <x:c r="D26" s="37"/>
      <x:c r="E26" s="13"/>
      <x:c r="F26" s="50"/>
      <x:c r="G26" s="50"/>
      <x:c r="H26" s="50"/>
      <x:c r="I26" s="51" t="str">
        <x:f>IF(OR(G26="",H26=""),"",G26*H26)</x:f>
      </x:c>
      <x:c r="J26" s="50"/>
      <x:c r="K26" s="51" t="str">
        <x:f>IFERROR(J26/F26,"")</x:f>
      </x:c>
      <x:c r="L26" s="50"/>
      <x:c r="M26" s="50"/>
      <x:c r="N26" s="51" t="str">
        <x:f>IF(OR(L26="",M26=""),"",L26-M26)</x:f>
      </x:c>
      <x:c r="O26" s="51" t="str">
        <x:f>IFERROR(N26/(F26*I26),"")</x:f>
      </x:c>
      <x:c r="P26" s="55"/>
      <x:c r="Q26" s="55"/>
      <x:c r="R26" s="55"/>
      <x:c r="S26" s="13"/>
      <x:c r="T26" s="13"/>
      <x:c r="U26" s="13"/>
      <x:c r="V26" s="13"/>
      <x:c r="W26" s="13"/>
      <x:c r="X26" s="13"/>
    </x:row>
    <x:row r="27">
      <x:c r="A27" s="13"/>
      <x:c r="B27" s="13"/>
      <x:c r="C27" s="13"/>
      <x:c r="D27" s="37"/>
      <x:c r="E27" s="13"/>
      <x:c r="F27" s="50"/>
      <x:c r="G27" s="50"/>
      <x:c r="H27" s="50"/>
      <x:c r="I27" s="51" t="str">
        <x:f>IF(OR(G27="",H27=""),"",G27*H27)</x:f>
      </x:c>
      <x:c r="J27" s="50"/>
      <x:c r="K27" s="51" t="str">
        <x:f>IFERROR(J27/F27,"")</x:f>
      </x:c>
      <x:c r="L27" s="50"/>
      <x:c r="M27" s="50"/>
      <x:c r="N27" s="51" t="str">
        <x:f>IF(OR(L27="",M27=""),"",L27-M27)</x:f>
      </x:c>
      <x:c r="O27" s="51" t="str">
        <x:f>IFERROR(N27/(F27*I27),"")</x:f>
      </x:c>
      <x:c r="P27" s="55"/>
      <x:c r="Q27" s="55"/>
      <x:c r="R27" s="55"/>
      <x:c r="S27" s="13"/>
      <x:c r="T27" s="13"/>
      <x:c r="U27" s="13"/>
      <x:c r="V27" s="13"/>
      <x:c r="W27" s="13"/>
      <x:c r="X27" s="13"/>
    </x:row>
    <x:row r="28">
      <x:c r="A28" s="13"/>
      <x:c r="B28" s="13"/>
      <x:c r="C28" s="13"/>
      <x:c r="D28" s="37"/>
      <x:c r="E28" s="13"/>
      <x:c r="F28" s="50"/>
      <x:c r="G28" s="50"/>
      <x:c r="H28" s="50"/>
      <x:c r="I28" s="51" t="str">
        <x:f>IF(OR(G28="",H28=""),"",G28*H28)</x:f>
      </x:c>
      <x:c r="J28" s="50"/>
      <x:c r="K28" s="51" t="str">
        <x:f>IFERROR(J28/F28,"")</x:f>
      </x:c>
      <x:c r="L28" s="50"/>
      <x:c r="M28" s="50"/>
      <x:c r="N28" s="51" t="str">
        <x:f>IF(OR(L28="",M28=""),"",L28-M28)</x:f>
      </x:c>
      <x:c r="O28" s="51" t="str">
        <x:f>IFERROR(N28/(F28*I28),"")</x:f>
      </x:c>
      <x:c r="P28" s="55"/>
      <x:c r="Q28" s="55"/>
      <x:c r="R28" s="55"/>
      <x:c r="S28" s="13"/>
      <x:c r="T28" s="13"/>
      <x:c r="U28" s="13"/>
      <x:c r="V28" s="13"/>
      <x:c r="W28" s="13"/>
      <x:c r="X28" s="13"/>
    </x:row>
    <x:row r="29">
      <x:c r="A29" s="13"/>
      <x:c r="B29" s="13"/>
      <x:c r="C29" s="13"/>
      <x:c r="D29" s="37"/>
      <x:c r="E29" s="13"/>
      <x:c r="F29" s="50"/>
      <x:c r="G29" s="50"/>
      <x:c r="H29" s="50"/>
      <x:c r="I29" s="51" t="str">
        <x:f>IF(OR(G29="",H29=""),"",G29*H29)</x:f>
      </x:c>
      <x:c r="J29" s="50"/>
      <x:c r="K29" s="51" t="str">
        <x:f>IFERROR(J29/F29,"")</x:f>
      </x:c>
      <x:c r="L29" s="50"/>
      <x:c r="M29" s="50"/>
      <x:c r="N29" s="51" t="str">
        <x:f>IF(OR(L29="",M29=""),"",L29-M29)</x:f>
      </x:c>
      <x:c r="O29" s="51" t="str">
        <x:f>IFERROR(N29/(F29*I29),"")</x:f>
      </x:c>
      <x:c r="P29" s="55"/>
      <x:c r="Q29" s="55"/>
      <x:c r="R29" s="55"/>
      <x:c r="S29" s="13"/>
      <x:c r="T29" s="13"/>
      <x:c r="U29" s="13"/>
      <x:c r="V29" s="13"/>
      <x:c r="W29" s="13"/>
      <x:c r="X29" s="13"/>
    </x:row>
    <x:row r="30">
      <x:c r="A30" s="13"/>
      <x:c r="B30" s="13"/>
      <x:c r="C30" s="13"/>
      <x:c r="D30" s="37"/>
      <x:c r="E30" s="13"/>
      <x:c r="F30" s="50"/>
      <x:c r="G30" s="50"/>
      <x:c r="H30" s="50"/>
      <x:c r="I30" s="51" t="str">
        <x:f>IF(OR(G30="",H30=""),"",G30*H30)</x:f>
      </x:c>
      <x:c r="J30" s="50"/>
      <x:c r="K30" s="51" t="str">
        <x:f>IFERROR(J30/F30,"")</x:f>
      </x:c>
      <x:c r="L30" s="50"/>
      <x:c r="M30" s="50"/>
      <x:c r="N30" s="51" t="str">
        <x:f>IF(OR(L30="",M30=""),"",L30-M30)</x:f>
      </x:c>
      <x:c r="O30" s="51" t="str">
        <x:f>IFERROR(N30/(F30*I30),"")</x:f>
      </x:c>
      <x:c r="P30" s="55"/>
      <x:c r="Q30" s="55"/>
      <x:c r="R30" s="55"/>
      <x:c r="S30" s="13"/>
      <x:c r="T30" s="13"/>
      <x:c r="U30" s="13"/>
      <x:c r="V30" s="13"/>
      <x:c r="W30" s="13"/>
      <x:c r="X30" s="13"/>
    </x:row>
    <x:row r="31">
      <x:c r="A31" s="13"/>
      <x:c r="B31" s="13"/>
      <x:c r="C31" s="13"/>
      <x:c r="D31" s="37"/>
      <x:c r="E31" s="13"/>
      <x:c r="F31" s="50"/>
      <x:c r="G31" s="50"/>
      <x:c r="H31" s="50"/>
      <x:c r="I31" s="51" t="str">
        <x:f>IF(OR(G31="",H31=""),"",G31*H31)</x:f>
      </x:c>
      <x:c r="J31" s="50"/>
      <x:c r="K31" s="51" t="str">
        <x:f>IFERROR(J31/F31,"")</x:f>
      </x:c>
      <x:c r="L31" s="50"/>
      <x:c r="M31" s="50"/>
      <x:c r="N31" s="51" t="str">
        <x:f>IF(OR(L31="",M31=""),"",L31-M31)</x:f>
      </x:c>
      <x:c r="O31" s="51" t="str">
        <x:f>IFERROR(N31/(F31*I31),"")</x:f>
      </x:c>
      <x:c r="P31" s="55"/>
      <x:c r="Q31" s="55"/>
      <x:c r="R31" s="55"/>
      <x:c r="S31" s="13"/>
      <x:c r="T31" s="13"/>
      <x:c r="U31" s="13"/>
      <x:c r="V31" s="13"/>
      <x:c r="W31" s="13"/>
      <x:c r="X31" s="13"/>
    </x:row>
    <x:row r="32">
      <x:c r="A32" s="13"/>
      <x:c r="B32" s="13"/>
      <x:c r="C32" s="13"/>
      <x:c r="D32" s="37"/>
      <x:c r="E32" s="13"/>
      <x:c r="F32" s="50"/>
      <x:c r="G32" s="50"/>
      <x:c r="H32" s="50"/>
      <x:c r="I32" s="51" t="str">
        <x:f>IF(OR(G32="",H32=""),"",G32*H32)</x:f>
      </x:c>
      <x:c r="J32" s="50"/>
      <x:c r="K32" s="51" t="str">
        <x:f>IFERROR(J32/F32,"")</x:f>
      </x:c>
      <x:c r="L32" s="50"/>
      <x:c r="M32" s="50"/>
      <x:c r="N32" s="51" t="str">
        <x:f>IF(OR(L32="",M32=""),"",L32-M32)</x:f>
      </x:c>
      <x:c r="O32" s="51" t="str">
        <x:f>IFERROR(N32/(F32*I32),"")</x:f>
      </x:c>
      <x:c r="P32" s="55"/>
      <x:c r="Q32" s="55"/>
      <x:c r="R32" s="55"/>
      <x:c r="S32" s="13"/>
      <x:c r="T32" s="13"/>
      <x:c r="U32" s="13"/>
      <x:c r="V32" s="13"/>
      <x:c r="W32" s="13"/>
      <x:c r="X32" s="13"/>
    </x:row>
    <x:row r="33">
      <x:c r="A33" s="13"/>
      <x:c r="B33" s="13"/>
      <x:c r="C33" s="13"/>
      <x:c r="D33" s="37"/>
      <x:c r="E33" s="13"/>
      <x:c r="F33" s="50"/>
      <x:c r="G33" s="50"/>
      <x:c r="H33" s="50"/>
      <x:c r="I33" s="51" t="str">
        <x:f>IF(OR(G33="",H33=""),"",G33*H33)</x:f>
      </x:c>
      <x:c r="J33" s="50"/>
      <x:c r="K33" s="51" t="str">
        <x:f>IFERROR(J33/F33,"")</x:f>
      </x:c>
      <x:c r="L33" s="50"/>
      <x:c r="M33" s="50"/>
      <x:c r="N33" s="51" t="str">
        <x:f>IF(OR(L33="",M33=""),"",L33-M33)</x:f>
      </x:c>
      <x:c r="O33" s="51" t="str">
        <x:f>IFERROR(N33/(F33*I33),"")</x:f>
      </x:c>
      <x:c r="P33" s="55"/>
      <x:c r="Q33" s="55"/>
      <x:c r="R33" s="55"/>
      <x:c r="S33" s="13"/>
      <x:c r="T33" s="13"/>
      <x:c r="U33" s="13"/>
      <x:c r="V33" s="13"/>
      <x:c r="W33" s="13"/>
      <x:c r="X33" s="13"/>
    </x:row>
    <x:row r="34">
      <x:c r="A34" s="14"/>
      <x:c r="B34" s="14"/>
      <x:c r="C34" s="14"/>
      <x:c r="D34" s="38"/>
      <x:c r="E34" s="14"/>
      <x:c r="F34" s="52"/>
      <x:c r="G34" s="52"/>
      <x:c r="H34" s="52"/>
      <x:c r="I34" s="53" t="str">
        <x:f>IF(OR(G34="",H34=""),"",G34*H34)</x:f>
      </x:c>
      <x:c r="J34" s="52"/>
      <x:c r="K34" s="53" t="str">
        <x:f>IFERROR(J34/F34,"")</x:f>
      </x:c>
      <x:c r="L34" s="52"/>
      <x:c r="M34" s="52"/>
      <x:c r="N34" s="53" t="str">
        <x:f>IF(OR(L34="",M34=""),"",L34-M34)</x:f>
      </x:c>
      <x:c r="O34" s="53" t="str">
        <x:f>IFERROR(N34/(F34*I34),"")</x:f>
      </x:c>
      <x:c r="P34" s="56"/>
      <x:c r="Q34" s="56"/>
      <x:c r="R34" s="56"/>
      <x:c r="S34" s="14"/>
      <x:c r="T34" s="14"/>
      <x:c r="U34" s="14"/>
      <x:c r="V34" s="14"/>
      <x:c r="W34" s="14"/>
      <x:c r="X34" s="14"/>
    </x:row>
  </x:sheetData>
  <x:mergeCells>
    <x:mergeCell ref="A1:X2"/>
  </x:mergeCells>
  <x:conditionalFormatting sqref="W5:W34">
    <x:cfRule type="containsText" dxfId="2" priority="1" operator="containsText" text="review"/>
    <x:cfRule type="containsText" dxfId="3" priority="2" operator="containsText" text="exclude"/>
  </x:conditionalFormatting>
  <x:dataValidations count="1">
    <x:dataValidation type="list" sqref="W5:W34">
      <x:formula1>"pass,review,exclude"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64274b0432546d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按老化工况汇总（公式驱动）</x:v>
      </x:c>
      <x:c r="B1" s="4" t="str">
        <x:v>按老化工况汇总（公式驱动）</x:v>
      </x:c>
      <x:c r="C1" s="4" t="str">
        <x:v>按老化工况汇总（公式驱动）</x:v>
      </x:c>
      <x:c r="D1" s="4" t="str">
        <x:v>按老化工况汇总（公式驱动）</x:v>
      </x:c>
      <x:c r="E1" s="4" t="str">
        <x:v>按老化工况汇总（公式驱动）</x:v>
      </x:c>
      <x:c r="F1" s="4" t="str">
        <x:v>按老化工况汇总（公式驱动）</x:v>
      </x:c>
      <x:c r="G1" s="4" t="str">
        <x:v>按老化工况汇总（公式驱动）</x:v>
      </x:c>
      <x:c r="H1" s="4" t="str">
        <x:v>按老化工况汇总（公式驱动）</x:v>
      </x:c>
    </x:row>
    <x:row r="2" ht="30" customHeight="1">
      <x:c r="A2" s="4" t="str">
        <x:v>按老化工况汇总（公式驱动）</x:v>
      </x:c>
      <x:c r="B2" s="4" t="str">
        <x:v>按老化工况汇总（公式驱动）</x:v>
      </x:c>
      <x:c r="C2" s="4" t="str">
        <x:v>按老化工况汇总（公式驱动）</x:v>
      </x:c>
      <x:c r="D2" s="4" t="str">
        <x:v>按老化工况汇总（公式驱动）</x:v>
      </x:c>
      <x:c r="E2" s="4" t="str">
        <x:v>按老化工况汇总（公式驱动）</x:v>
      </x:c>
      <x:c r="F2" s="4" t="str">
        <x:v>按老化工况汇总（公式驱动）</x:v>
      </x:c>
      <x:c r="G2" s="4" t="str">
        <x:v>按老化工况汇总（公式驱动）</x:v>
      </x:c>
      <x:c r="H2" s="4" t="str">
        <x:v>按老化工况汇总（公式驱动）</x:v>
      </x:c>
    </x:row>
    <x:row r="4" ht="34" customHeight="1">
      <x:c r="A4" s="32" t="str">
        <x:v>aging_condition_id</x:v>
      </x:c>
      <x:c r="B4" s="32" t="str">
        <x:v>temperature_C</x:v>
      </x:c>
      <x:c r="C4" s="32" t="str">
        <x:v>duration_h</x:v>
      </x:c>
      <x:c r="D4" s="32" t="str">
        <x:v>valid_test_count</x:v>
      </x:c>
      <x:c r="E4" s="32" t="str">
        <x:v>avg_friction_coefficient</x:v>
      </x:c>
      <x:c r="F4" s="32" t="str">
        <x:v>avg_mass_loss_mg</x:v>
      </x:c>
      <x:c r="G4" s="32" t="str">
        <x:v>avg_wear_rate_mg_per_Nm</x:v>
      </x:c>
      <x:c r="H4" s="32" t="str">
        <x:v>review_or_exclude_count</x:v>
      </x:c>
      <x:c r="J4" t="str">
        <x:v>aging_condition</x:v>
      </x:c>
      <x:c r="K4" t="str">
        <x:v>avg_friction_coefficient</x:v>
      </x:c>
    </x:row>
    <x:row r="5">
      <x:c r="A5" s="12" t="str">
        <x:f>'老化工况'!A5</x:f>
        <x:v>AGE-100C-0H</x:v>
      </x:c>
      <x:c r="B5" s="54" t="n">
        <x:f>'老化工况'!B5</x:f>
        <x:v>100</x:v>
      </x:c>
      <x:c r="C5" s="54" t="n">
        <x:f>'老化工况'!E5</x:f>
        <x:v>0</x:v>
      </x:c>
      <x:c r="D5" s="57" t="n">
        <x:f>COUNTIFS('磨损原始记录'!$C$5:$C$34,A5,'磨损原始记录'!$W$5:$W$34,"pass")</x:f>
        <x:v>1</x:v>
      </x:c>
      <x:c r="E5" s="60" t="n">
        <x:f>IFERROR(SUMIFS('磨损原始记录'!$K$5:$K$34,'磨损原始记录'!$C$5:$C$34,A5,'磨损原始记录'!$W$5:$W$34,"pass")/D5,"")</x:f>
        <x:v>0.6</x:v>
      </x:c>
      <x:c r="F5" s="60" t="n">
        <x:f>IFERROR(SUMIFS('磨损原始记录'!$N$5:$N$34,'磨损原始记录'!$C$5:$C$34,A5,'磨损原始记录'!$W$5:$W$34,"pass")/D5,"")</x:f>
        <x:v>18</x:v>
      </x:c>
      <x:c r="G5" s="60" t="n">
        <x:f>IFERROR(SUMIFS('磨损原始记录'!$O$5:$O$34,'磨损原始记录'!$C$5:$C$34,A5,'磨损原始记录'!$W$5:$W$34,"pass")/D5,"")</x:f>
        <x:v>0.0002</x:v>
      </x:c>
      <x:c r="H5" s="12" t="n">
        <x:f>COUNTIFS('磨损原始记录'!$C$5:$C$34,A5,'磨损原始记录'!$W$5:$W$34,"&lt;&gt;pass")</x:f>
        <x:v>0</x:v>
      </x:c>
      <x:c r="J5" t="str">
        <x:f>A5</x:f>
        <x:v>AGE-100C-0H</x:v>
      </x:c>
      <x:c r="K5" t="n">
        <x:f>E5</x:f>
        <x:v>0.6</x:v>
      </x:c>
    </x:row>
    <x:row r="6">
      <x:c r="A6" s="13" t="str">
        <x:f>'老化工况'!A6</x:f>
        <x:v>AGE-100C-72H</x:v>
      </x:c>
      <x:c r="B6" s="55" t="n">
        <x:f>'老化工况'!B6</x:f>
        <x:v>100</x:v>
      </x:c>
      <x:c r="C6" s="55" t="n">
        <x:f>'老化工况'!E6</x:f>
        <x:v>72</x:v>
      </x:c>
      <x:c r="D6" s="58" t="n">
        <x:f>COUNTIFS('磨损原始记录'!$C$5:$C$34,A6,'磨损原始记录'!$W$5:$W$34,"pass")</x:f>
        <x:v>1</x:v>
      </x:c>
      <x:c r="E6" s="61" t="n">
        <x:f>IFERROR(SUMIFS('磨损原始记录'!$K$5:$K$34,'磨损原始记录'!$C$5:$C$34,A6,'磨损原始记录'!$W$5:$W$34,"pass")/D6,"")</x:f>
        <x:v>0.65</x:v>
      </x:c>
      <x:c r="F6" s="61" t="n">
        <x:f>IFERROR(SUMIFS('磨损原始记录'!$N$5:$N$34,'磨损原始记录'!$C$5:$C$34,A6,'磨损原始记录'!$W$5:$W$34,"pass")/D6,"")</x:f>
        <x:v>23</x:v>
      </x:c>
      <x:c r="G6" s="61" t="n">
        <x:f>IFERROR(SUMIFS('磨损原始记录'!$O$5:$O$34,'磨损原始记录'!$C$5:$C$34,A6,'磨损原始记录'!$W$5:$W$34,"pass")/D6,"")</x:f>
        <x:v>0.0002555555555555556</x:v>
      </x:c>
      <x:c r="H6" s="13" t="n">
        <x:f>COUNTIFS('磨损原始记录'!$C$5:$C$34,A6,'磨损原始记录'!$W$5:$W$34,"&lt;&gt;pass")</x:f>
        <x:v>0</x:v>
      </x:c>
      <x:c r="J6" t="str">
        <x:f>A6</x:f>
        <x:v>AGE-100C-72H</x:v>
      </x:c>
      <x:c r="K6" t="n">
        <x:f>E6</x:f>
        <x:v>0.65</x:v>
      </x:c>
    </x:row>
    <x:row r="7">
      <x:c r="A7" s="14" t="str">
        <x:f>'老化工况'!A7</x:f>
        <x:v>AGE-100C-168H</x:v>
      </x:c>
      <x:c r="B7" s="56" t="n">
        <x:f>'老化工况'!B7</x:f>
        <x:v>100</x:v>
      </x:c>
      <x:c r="C7" s="56" t="n">
        <x:f>'老化工况'!E7</x:f>
        <x:v>168</x:v>
      </x:c>
      <x:c r="D7" s="59" t="n">
        <x:f>COUNTIFS('磨损原始记录'!$C$5:$C$34,A7,'磨损原始记录'!$W$5:$W$34,"pass")</x:f>
        <x:v>1</x:v>
      </x:c>
      <x:c r="E7" s="62" t="n">
        <x:f>IFERROR(SUMIFS('磨损原始记录'!$K$5:$K$34,'磨损原始记录'!$C$5:$C$34,A7,'磨损原始记录'!$W$5:$W$34,"pass")/D7,"")</x:f>
        <x:v>0.7</x:v>
      </x:c>
      <x:c r="F7" s="62" t="n">
        <x:f>IFERROR(SUMIFS('磨损原始记录'!$N$5:$N$34,'磨损原始记录'!$C$5:$C$34,A7,'磨损原始记录'!$W$5:$W$34,"pass")/D7,"")</x:f>
        <x:v>31</x:v>
      </x:c>
      <x:c r="G7" s="62" t="n">
        <x:f>IFERROR(SUMIFS('磨损原始记录'!$O$5:$O$34,'磨损原始记录'!$C$5:$C$34,A7,'磨损原始记录'!$W$5:$W$34,"pass")/D7,"")</x:f>
        <x:v>0.0003444444444444444</x:v>
      </x:c>
      <x:c r="H7" s="14" t="n">
        <x:f>COUNTIFS('磨损原始记录'!$C$5:$C$34,A7,'磨损原始记录'!$W$5:$W$34,"&lt;&gt;pass")</x:f>
        <x:v>1</x:v>
      </x:c>
      <x:c r="J7" t="str">
        <x:f>A7</x:f>
        <x:v>AGE-100C-168H</x:v>
      </x:c>
      <x:c r="K7" t="n">
        <x:f>E7</x:f>
        <x:v>0.7</x:v>
      </x:c>
    </x:row>
  </x:sheetData>
  <x:mergeCells>
    <x:mergeCell ref="A1:H2"/>
  </x:mergeCells>
  <x:conditionalFormatting sqref="H5:H7">
    <x:cfRule type="cellIs" dxfId="4" priority="1" operator="greaterThan">
      <x:formula>0</x:formula>
    </x:cfRule>
  </x:conditionalFormatting>
  <x:pageMargins left="0.7" right="0.7" top="0.75" bottom="0.75" header="0.3" footer="0.3"/>
  <x:drawing xmlns:r="http://schemas.openxmlformats.org/officeDocument/2006/relationships" r:id="R92e393d31da745e5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42" hidden="0" customWidth="1"/>
  </x:cols>
  <x:sheetData>
    <x:row r="1" ht="30" customHeight="1">
      <x:c r="A1" s="4" t="str">
        <x:v>实验数据字典</x:v>
      </x:c>
      <x:c r="B1" s="4" t="str">
        <x:v>实验数据字典</x:v>
      </x:c>
      <x:c r="C1" s="4" t="str">
        <x:v>实验数据字典</x:v>
      </x:c>
      <x:c r="D1" s="4" t="str">
        <x:v>实验数据字典</x:v>
      </x:c>
      <x:c r="E1" s="4" t="str">
        <x:v>实验数据字典</x:v>
      </x:c>
      <x:c r="F1" s="4" t="str">
        <x:v>实验数据字典</x:v>
      </x:c>
    </x:row>
    <x:row r="2" ht="30" customHeight="1">
      <x:c r="A2" s="4" t="str">
        <x:v>实验数据字典</x:v>
      </x:c>
      <x:c r="B2" s="4" t="str">
        <x:v>实验数据字典</x:v>
      </x:c>
      <x:c r="C2" s="4" t="str">
        <x:v>实验数据字典</x:v>
      </x:c>
      <x:c r="D2" s="4" t="str">
        <x:v>实验数据字典</x:v>
      </x:c>
      <x:c r="E2" s="4" t="str">
        <x:v>实验数据字典</x:v>
      </x:c>
      <x:c r="F2" s="4" t="str">
        <x:v>实验数据字典</x:v>
      </x:c>
    </x:row>
    <x:row r="4" ht="34" customHeight="1">
      <x:c r="A4" s="32" t="str">
        <x:v>sheet</x:v>
      </x:c>
      <x:c r="B4" s="32" t="str">
        <x:v>field</x:v>
      </x:c>
      <x:c r="C4" s="32" t="str">
        <x:v>type</x:v>
      </x:c>
      <x:c r="D4" s="32" t="str">
        <x:v>unit_or_enum</x:v>
      </x:c>
      <x:c r="E4" s="32" t="str">
        <x:v>required</x:v>
      </x:c>
      <x:c r="F4" s="32" t="str">
        <x:v>definition</x:v>
      </x:c>
    </x:row>
    <x:row r="5">
      <x:c r="A5" s="24" t="str">
        <x:v>样品信息</x:v>
      </x:c>
      <x:c r="B5" s="24" t="str">
        <x:v>sample_id</x:v>
      </x:c>
      <x:c r="C5" s="24" t="str">
        <x:v>text</x:v>
      </x:c>
      <x:c r="D5" s="24" t="str">
        <x:v>unique</x:v>
      </x:c>
      <x:c r="E5" s="24" t="str">
        <x:v>yes</x:v>
      </x:c>
      <x:c r="F5" s="24" t="str">
        <x:v>样品唯一编号，贯穿工况、测量和图像</x:v>
      </x:c>
    </x:row>
    <x:row r="6">
      <x:c r="A6" s="25" t="str">
        <x:v>样品信息</x:v>
      </x:c>
      <x:c r="B6" s="25" t="str">
        <x:v>authorization_status</x:v>
      </x:c>
      <x:c r="C6" s="25" t="str">
        <x:v>enum</x:v>
      </x:c>
      <x:c r="D6" s="25" t="str">
        <x:v>pending/team_owned/authorized/public/restricted</x:v>
      </x:c>
      <x:c r="E6" s="25" t="str">
        <x:v>yes</x:v>
      </x:c>
      <x:c r="F6" s="25" t="str">
        <x:v>数据使用授权状态</x:v>
      </x:c>
    </x:row>
    <x:row r="7">
      <x:c r="A7" s="25" t="str">
        <x:v>老化工况</x:v>
      </x:c>
      <x:c r="B7" s="25" t="str">
        <x:v>aging_condition_id</x:v>
      </x:c>
      <x:c r="C7" s="25" t="str">
        <x:v>text</x:v>
      </x:c>
      <x:c r="D7" s="25" t="str">
        <x:v>unique</x:v>
      </x:c>
      <x:c r="E7" s="25" t="str">
        <x:v>yes</x:v>
      </x:c>
      <x:c r="F7" s="25" t="str">
        <x:v>热氧老化工况唯一编号</x:v>
      </x:c>
    </x:row>
    <x:row r="8">
      <x:c r="A8" s="25" t="str">
        <x:v>老化工况</x:v>
      </x:c>
      <x:c r="B8" s="25" t="str">
        <x:v>measured_temperature_mean_C</x:v>
      </x:c>
      <x:c r="C8" s="25" t="str">
        <x:v>number</x:v>
      </x:c>
      <x:c r="D8" s="25" t="str">
        <x:v>degC</x:v>
      </x:c>
      <x:c r="E8" s="25" t="str">
        <x:v>yes</x:v>
      </x:c>
      <x:c r="F8" s="25" t="str">
        <x:v>老化期间实测平均温度</x:v>
      </x:c>
    </x:row>
    <x:row r="9">
      <x:c r="A9" s="25" t="str">
        <x:v>磨损原始记录</x:v>
      </x:c>
      <x:c r="B9" s="25" t="str">
        <x:v>normal_load_N</x:v>
      </x:c>
      <x:c r="C9" s="25" t="str">
        <x:v>number</x:v>
      </x:c>
      <x:c r="D9" s="25" t="str">
        <x:v>N</x:v>
      </x:c>
      <x:c r="E9" s="25" t="str">
        <x:v>yes</x:v>
      </x:c>
      <x:c r="F9" s="25" t="str">
        <x:v>法向载荷</x:v>
      </x:c>
    </x:row>
    <x:row r="10">
      <x:c r="A10" s="25" t="str">
        <x:v>磨损原始记录</x:v>
      </x:c>
      <x:c r="B10" s="25" t="str">
        <x:v>sliding_speed_m_s</x:v>
      </x:c>
      <x:c r="C10" s="25" t="str">
        <x:v>number</x:v>
      </x:c>
      <x:c r="D10" s="25" t="str">
        <x:v>m/s</x:v>
      </x:c>
      <x:c r="E10" s="25" t="str">
        <x:v>yes</x:v>
      </x:c>
      <x:c r="F10" s="25" t="str">
        <x:v>滑动速度</x:v>
      </x:c>
    </x:row>
    <x:row r="11">
      <x:c r="A11" s="25" t="str">
        <x:v>磨损原始记录</x:v>
      </x:c>
      <x:c r="B11" s="25" t="str">
        <x:v>sliding_distance_m</x:v>
      </x:c>
      <x:c r="C11" s="25" t="str">
        <x:v>formula</x:v>
      </x:c>
      <x:c r="D11" s="25" t="str">
        <x:v>m</x:v>
      </x:c>
      <x:c r="E11" s="25" t="str">
        <x:v>derived</x:v>
      </x:c>
      <x:c r="F11" s="25" t="str">
        <x:v>速度乘以时间</x:v>
      </x:c>
    </x:row>
    <x:row r="12">
      <x:c r="A12" s="25" t="str">
        <x:v>磨损原始记录</x:v>
      </x:c>
      <x:c r="B12" s="25" t="str">
        <x:v>friction_coefficient</x:v>
      </x:c>
      <x:c r="C12" s="25" t="str">
        <x:v>formula</x:v>
      </x:c>
      <x:c r="D12" s="25" t="str">
        <x:v>dimensionless</x:v>
      </x:c>
      <x:c r="E12" s="25" t="str">
        <x:v>derived</x:v>
      </x:c>
      <x:c r="F12" s="25" t="str">
        <x:v>平均摩擦力除以法向载荷</x:v>
      </x:c>
    </x:row>
    <x:row r="13">
      <x:c r="A13" s="25" t="str">
        <x:v>磨损原始记录</x:v>
      </x:c>
      <x:c r="B13" s="25" t="str">
        <x:v>mass_loss_mg</x:v>
      </x:c>
      <x:c r="C13" s="25" t="str">
        <x:v>formula</x:v>
      </x:c>
      <x:c r="D13" s="25" t="str">
        <x:v>mg</x:v>
      </x:c>
      <x:c r="E13" s="25" t="str">
        <x:v>derived</x:v>
      </x:c>
      <x:c r="F13" s="25" t="str">
        <x:v>试验前质量减去试验后质量</x:v>
      </x:c>
    </x:row>
    <x:row r="14">
      <x:c r="A14" s="25" t="str">
        <x:v>磨损原始记录</x:v>
      </x:c>
      <x:c r="B14" s="25" t="str">
        <x:v>wear_rate_mg_per_Nm</x:v>
      </x:c>
      <x:c r="C14" s="25" t="str">
        <x:v>formula</x:v>
      </x:c>
      <x:c r="D14" s="25" t="str">
        <x:v>mg/(N*m)</x:v>
      </x:c>
      <x:c r="E14" s="25" t="str">
        <x:v>derived</x:v>
      </x:c>
      <x:c r="F14" s="25" t="str">
        <x:v>质量损失除以载荷与滑动距离</x:v>
      </x:c>
    </x:row>
    <x:row r="15">
      <x:c r="A15" s="25" t="str">
        <x:v>磨损原始记录</x:v>
      </x:c>
      <x:c r="B15" s="25" t="str">
        <x:v>qc_flag</x:v>
      </x:c>
      <x:c r="C15" s="25" t="str">
        <x:v>enum</x:v>
      </x:c>
      <x:c r="D15" s="25" t="str">
        <x:v>pass/review/exclude</x:v>
      </x:c>
      <x:c r="E15" s="25" t="str">
        <x:v>yes</x:v>
      </x:c>
      <x:c r="F15" s="25" t="str">
        <x:v>质量控制状态</x:v>
      </x:c>
    </x:row>
    <x:row r="16">
      <x:c r="A16" s="26" t="str">
        <x:v>磨损原始记录</x:v>
      </x:c>
      <x:c r="B16" s="26" t="str">
        <x:v>source_file</x:v>
      </x:c>
      <x:c r="C16" s="26" t="str">
        <x:v>text</x:v>
      </x:c>
      <x:c r="D16" s="26" t="str">
        <x:v>relative path</x:v>
      </x:c>
      <x:c r="E16" s="26" t="str">
        <x:v>yes</x:v>
      </x:c>
      <x:c r="F16" s="26" t="str">
        <x:v>对应仪器原始导出文件</x:v>
      </x:c>
    </x:row>
  </x:sheetData>
  <x:mergeCells>
    <x:mergeCell ref="A1:F2"/>
  </x:mergeCells>
  <x:pageMargins left="0.7" right="0.7" top="0.75" bottom="0.75" header="0.3" footer="0.3"/>
</x:worksheet>
</file>