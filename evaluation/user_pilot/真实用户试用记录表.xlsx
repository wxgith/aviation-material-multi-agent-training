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6ecb2b38b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用说明" sheetId="1" r:id="Rb7cb90f68cda4369"/>
    <x:sheet xmlns:r="http://schemas.openxmlformats.org/officeDocument/2006/relationships" name="参与者" sheetId="2" r:id="R29d465c12567460a"/>
    <x:sheet xmlns:r="http://schemas.openxmlformats.org/officeDocument/2006/relationships" name="任务记录" sheetId="3" r:id="R47ace5b5bb19447e"/>
    <x:sheet xmlns:r="http://schemas.openxmlformats.org/officeDocument/2006/relationships" name="前后测" sheetId="4" r:id="R290aad7ec76546e8"/>
    <x:sheet xmlns:r="http://schemas.openxmlformats.org/officeDocument/2006/relationships" name="汇总" sheetId="5" r:id="R423fb43a5432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2033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E7F6E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b2bd847d54509" /><Relationship Type="http://schemas.openxmlformats.org/officeDocument/2006/relationships/theme" Target="/xl/theme/theme1.xml" Id="R9a9890b800a84134" /><Relationship Type="http://schemas.openxmlformats.org/officeDocument/2006/relationships/sharedStrings" Target="/xl/sharedStrings.xml" Id="R13ffd73d87d94078" /><Relationship Type="http://schemas.openxmlformats.org/officeDocument/2006/relationships/worksheet" Target="/xl/worksheets/sheet1.xml" Id="Rb7cb90f68cda4369" /><Relationship Type="http://schemas.openxmlformats.org/officeDocument/2006/relationships/worksheet" Target="/xl/worksheets/sheet2.xml" Id="R29d465c12567460a" /><Relationship Type="http://schemas.openxmlformats.org/officeDocument/2006/relationships/worksheet" Target="/xl/worksheets/sheet3.xml" Id="R47ace5b5bb19447e" /><Relationship Type="http://schemas.openxmlformats.org/officeDocument/2006/relationships/worksheet" Target="/xl/worksheets/sheet4.xml" Id="R290aad7ec76546e8" /><Relationship Type="http://schemas.openxmlformats.org/officeDocument/2006/relationships/worksheet" Target="/xl/worksheets/sheet5.xml" Id="R423fb43a543248a1" /></Relationships>
</file>

<file path=xl/tables/table1.xml><?xml version="1.0" encoding="utf-8"?>
<x:table xmlns:x="http://schemas.openxmlformats.org/spreadsheetml/2006/main" id="1" name="PilotParticipantsTable" displayName="PilotParticipantsTable" ref="A1:G10" headerRowCount="1" totalsRowCount="0" totalsRowShown="0">
  <x:tableColumns count="7">
    <x:tableColumn id="1" name="匿名编号"/>
    <x:tableColumn id="2" name="画像类型"/>
    <x:tableColumn id="3" name="训练方向"/>
    <x:tableColumn id="4" name="先验基础"/>
    <x:tableColumn id="5" name="知情同意"/>
    <x:tableColumn id="6" name="试用日期"/>
    <x:tableColumn id="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TaskTable" displayName="PilotTaskTable" ref="A1:I55" headerRowCount="1" totalsRowCount="0" totalsRowShown="0">
  <x:tableColumns count="9">
    <x:tableColumn id="1" name="匿名编号"/>
    <x:tableColumn id="2" name="任务ID"/>
    <x:tableColumn id="3" name="任务说明"/>
    <x:tableColumn id="4" name="是否完成"/>
    <x:tableColumn id="5" name="耗时(秒)"/>
    <x:tableColumn id="6" name="错误次数"/>
    <x:tableColumn id="7" name="求助次数"/>
    <x:tableColumn id="8" name="易用性(1-5)"/>
    <x:tableColumn id="9" name="评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PrePostTable" displayName="PilotPrePostTable" ref="A1:H10" headerRowCount="1" totalsRowCount="0" totalsRowShown="0">
  <x:tableColumns count="8">
    <x:tableColumn id="1" name="匿名编号"/>
    <x:tableColumn id="2" name="训练方向"/>
    <x:tableColumn id="3" name="前测(0-100)"/>
    <x:tableColumn id="4" name="后测(0-100)"/>
    <x:tableColumn id="5" name="分数变化"/>
    <x:tableColumn id="6" name="前测盲区"/>
    <x:tableColumn id="7" name="后测盲区"/>
    <x:tableColumn id="8" name="复核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9ca411d03240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1042a47f89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1bb7e6ba964f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32" customHeight="1">
      <x:c r="A1" s="3" t="str">
        <x:v>航空工程材料多智能体系统 - 真实用户试用</x:v>
      </x:c>
      <x:c r="B1" s="3" t="str">
        <x:v>航空工程材料多智能体系统 - 真实用户试用</x:v>
      </x:c>
      <x:c r="C1" s="3" t="str">
        <x:v>航空工程材料多智能体系统 - 真实用户试用</x:v>
      </x:c>
      <x:c r="D1" s="3" t="str">
        <x:v>航空工程材料多智能体系统 - 真实用户试用</x:v>
      </x:c>
      <x:c r="E1" s="3" t="str">
        <x:v>航空工程材料多智能体系统 - 真实用户试用</x:v>
      </x:c>
    </x:row>
    <x:row r="3">
      <x:c r="A3" s="9" t="str">
        <x:v>状态</x:v>
      </x:c>
      <x:c r="B3" s="7" t="str">
        <x:v>待真实采集，不含模拟结论</x:v>
      </x:c>
    </x:row>
    <x:row r="4">
      <x:c r="A4" s="9" t="str">
        <x:v>计划样本</x:v>
      </x:c>
      <x:c r="B4" s="7" t="str">
        <x:v>至少 9 人；三类画像各不少于 3 人</x:v>
      </x:c>
    </x:row>
    <x:row r="5">
      <x:c r="A5" s="9" t="str">
        <x:v>核心任务</x:v>
      </x:c>
      <x:c r="B5" s="7" t="str">
        <x:v>识别状态、完成画像与诊断、查看 6 Agent、找到证据、完成反馈、导出报告</x:v>
      </x:c>
    </x:row>
    <x:row r="6">
      <x:c r="A6" s="9" t="str">
        <x:v>前后测</x:v>
      </x:c>
      <x:c r="B6" s="7" t="str">
        <x:v>同知识点平行题各 5 道</x:v>
      </x:c>
    </x:row>
    <x:row r="7">
      <x:c r="A7" s="9" t="str">
        <x:v>匿名要求</x:v>
      </x:c>
      <x:c r="B7" s="7" t="str">
        <x:v>仅记录 P-01 等匿名编号</x:v>
      </x:c>
    </x:row>
    <x:row r="8">
      <x:c r="A8" s="9" t="str">
        <x:v>禁止采集</x:v>
      </x:c>
      <x:c r="B8" s="7" t="str">
        <x:v>姓名、学号、手机号、身份证号</x:v>
      </x:c>
    </x:row>
    <x:row r="9">
      <x:c r="A9" s="9" t="str">
        <x:v>结果边界</x:v>
      </x:c>
      <x:c r="B9" s="7" t="str">
        <x:v>小样本仅作试用证据，不宣称统计显著</x:v>
      </x:c>
    </x:row>
    <x:row r="10">
      <x:c r="A10" s="9" t="str">
        <x:v>知情说明</x:v>
      </x:c>
      <x:c r="B10" s="7" t="str">
        <x:v>参与者确认同意后再记录数据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42" hidden="0" customWidth="1"/>
  </x:cols>
  <x:sheetData>
    <x:row r="1" ht="32" customHeight="1">
      <x:c r="A1" s="14" t="str">
        <x:v>匿名编号</x:v>
      </x:c>
      <x:c r="B1" s="14" t="str">
        <x:v>画像类型</x:v>
      </x:c>
      <x:c r="C1" s="14" t="str">
        <x:v>训练方向</x:v>
      </x:c>
      <x:c r="D1" s="14" t="str">
        <x:v>先验基础</x:v>
      </x:c>
      <x:c r="E1" s="14" t="str">
        <x:v>知情同意</x:v>
      </x:c>
      <x:c r="F1" s="14" t="str">
        <x:v>试用日期</x:v>
      </x:c>
      <x:c r="G1" s="14" t="str">
        <x:v>备注</x:v>
      </x:c>
    </x:row>
    <x:row r="2">
      <x:c r="A2" s="7" t="str">
        <x:v>P-01</x:v>
      </x:c>
      <x:c r="B2" s="7" t="str"/>
      <x:c r="C2" s="7" t="str"/>
      <x:c r="D2" s="7" t="str"/>
      <x:c r="E2" s="7" t="str"/>
      <x:c r="F2" s="7" t="str"/>
      <x:c r="G2" s="7" t="str"/>
    </x:row>
    <x:row r="3">
      <x:c r="A3" s="7" t="str">
        <x:v>P-02</x:v>
      </x:c>
      <x:c r="B3" s="7" t="str"/>
      <x:c r="C3" s="7" t="str"/>
      <x:c r="D3" s="7" t="str"/>
      <x:c r="E3" s="7" t="str"/>
      <x:c r="F3" s="7" t="str"/>
      <x:c r="G3" s="7" t="str"/>
    </x:row>
    <x:row r="4">
      <x:c r="A4" s="7" t="str">
        <x:v>P-03</x:v>
      </x:c>
      <x:c r="B4" s="7" t="str"/>
      <x:c r="C4" s="7" t="str"/>
      <x:c r="D4" s="7" t="str"/>
      <x:c r="E4" s="7" t="str"/>
      <x:c r="F4" s="7" t="str"/>
      <x:c r="G4" s="7" t="str"/>
    </x:row>
    <x:row r="5">
      <x:c r="A5" s="7" t="str">
        <x:v>P-04</x:v>
      </x:c>
      <x:c r="B5" s="7" t="str"/>
      <x:c r="C5" s="7" t="str"/>
      <x:c r="D5" s="7" t="str"/>
      <x:c r="E5" s="7" t="str"/>
      <x:c r="F5" s="7" t="str"/>
      <x:c r="G5" s="7" t="str"/>
    </x:row>
    <x:row r="6">
      <x:c r="A6" s="7" t="str">
        <x:v>P-05</x:v>
      </x:c>
      <x:c r="B6" s="7" t="str"/>
      <x:c r="C6" s="7" t="str"/>
      <x:c r="D6" s="7" t="str"/>
      <x:c r="E6" s="7" t="str"/>
      <x:c r="F6" s="7" t="str"/>
      <x:c r="G6" s="7" t="str"/>
    </x:row>
    <x:row r="7">
      <x:c r="A7" s="7" t="str">
        <x:v>P-06</x:v>
      </x:c>
      <x:c r="B7" s="7" t="str"/>
      <x:c r="C7" s="7" t="str"/>
      <x:c r="D7" s="7" t="str"/>
      <x:c r="E7" s="7" t="str"/>
      <x:c r="F7" s="7" t="str"/>
      <x:c r="G7" s="7" t="str"/>
    </x:row>
    <x:row r="8">
      <x:c r="A8" s="7" t="str">
        <x:v>P-07</x:v>
      </x:c>
      <x:c r="B8" s="7" t="str"/>
      <x:c r="C8" s="7" t="str"/>
      <x:c r="D8" s="7" t="str"/>
      <x:c r="E8" s="7" t="str"/>
      <x:c r="F8" s="7" t="str"/>
      <x:c r="G8" s="7" t="str"/>
    </x:row>
    <x:row r="9">
      <x:c r="A9" s="7" t="str">
        <x:v>P-08</x:v>
      </x:c>
      <x:c r="B9" s="7" t="str"/>
      <x:c r="C9" s="7" t="str"/>
      <x:c r="D9" s="7" t="str"/>
      <x:c r="E9" s="7" t="str"/>
      <x:c r="F9" s="7" t="str"/>
      <x:c r="G9" s="7" t="str"/>
    </x:row>
    <x:row r="10">
      <x:c r="A10" s="7" t="str">
        <x:v>P-09</x:v>
      </x:c>
      <x:c r="B10" s="7" t="str"/>
      <x:c r="C10" s="7" t="str"/>
      <x:c r="D10" s="7" t="str"/>
      <x:c r="E10" s="7" t="str"/>
      <x:c r="F10" s="7" t="str"/>
      <x:c r="G10" s="7" t="str"/>
    </x:row>
  </x:sheetData>
  <x:conditionalFormatting sqref="B2:F10">
    <x:cfRule type="containsBlanks" dxfId="0" priority="1"/>
  </x:conditionalFormatting>
  <x:dataValidations count="4">
    <x:dataValidation type="list" sqref="B2:B10">
      <x:formula1>"本科低年级学生,材料方向研究生,机务维修新员工或等效背景"</x:formula1>
    </x:dataValidation>
    <x:dataValidation type="list" sqref="C2:C10">
      <x:formula1>"航空轮胎,航空刹车片,复合材料板"</x:formula1>
    </x:dataValidation>
    <x:dataValidation type="list" sqref="D2:D10">
      <x:formula1>"低,中,高"</x:formula1>
    </x:dataValidation>
    <x:dataValidation type="list" sqref="E2:E1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ca411d03240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46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6" hidden="0" customWidth="1"/>
    <x:col min="9" max="9" width="48" hidden="0" customWidth="1"/>
  </x:cols>
  <x:sheetData>
    <x:row r="1" ht="32" customHeight="1">
      <x:c r="A1" s="14" t="str">
        <x:v>匿名编号</x:v>
      </x:c>
      <x:c r="B1" s="14" t="str">
        <x:v>任务ID</x:v>
      </x:c>
      <x:c r="C1" s="14" t="str">
        <x:v>任务说明</x:v>
      </x:c>
      <x:c r="D1" s="14" t="str">
        <x:v>是否完成</x:v>
      </x:c>
      <x:c r="E1" s="14" t="str">
        <x:v>耗时(秒)</x:v>
      </x:c>
      <x:c r="F1" s="14" t="str">
        <x:v>错误次数</x:v>
      </x:c>
      <x:c r="G1" s="14" t="str">
        <x:v>求助次数</x:v>
      </x:c>
      <x:c r="H1" s="14" t="str">
        <x:v>易用性(1-5)</x:v>
      </x:c>
      <x:c r="I1" s="14" t="str">
        <x:v>评语</x:v>
      </x:c>
    </x:row>
    <x:row r="2">
      <x:c r="A2" s="7" t="str">
        <x:v>P-01</x:v>
      </x:c>
      <x:c r="B2" s="7" t="str">
        <x:v>T1</x:v>
      </x:c>
      <x:c r="C2" s="7" t="str">
        <x:v>识别当前数据、检索和生成模式</x:v>
      </x:c>
      <x:c r="D2" s="7" t="str"/>
      <x:c r="E2" s="7" t="str"/>
      <x:c r="F2" s="7" t="str"/>
      <x:c r="G2" s="7" t="str"/>
      <x:c r="H2" s="7" t="str"/>
      <x:c r="I2" s="7" t="str"/>
    </x:row>
    <x:row r="3">
      <x:c r="A3" s="7" t="str">
        <x:v>P-01</x:v>
      </x:c>
      <x:c r="B3" s="7" t="str">
        <x:v>T2</x:v>
      </x:c>
      <x:c r="C3" s="7" t="str">
        <x:v>选择画像和训练方向并完成诊断</x:v>
      </x:c>
      <x:c r="D3" s="7" t="str"/>
      <x:c r="E3" s="7" t="str"/>
      <x:c r="F3" s="7" t="str"/>
      <x:c r="G3" s="7" t="str"/>
      <x:c r="H3" s="7" t="str"/>
      <x:c r="I3" s="7" t="str"/>
    </x:row>
    <x:row r="4">
      <x:c r="A4" s="7" t="str">
        <x:v>P-01</x:v>
      </x:c>
      <x:c r="B4" s="7" t="str">
        <x:v>T3</x:v>
      </x:c>
      <x:c r="C4" s="7" t="str">
        <x:v>展开 6 个 Agent 步骤</x:v>
      </x:c>
      <x:c r="D4" s="7" t="str"/>
      <x:c r="E4" s="7" t="str"/>
      <x:c r="F4" s="7" t="str"/>
      <x:c r="G4" s="7" t="str"/>
      <x:c r="H4" s="7" t="str"/>
      <x:c r="I4" s="7" t="str"/>
    </x:row>
    <x:row r="5">
      <x:c r="A5" s="7" t="str">
        <x:v>P-01</x:v>
      </x:c>
      <x:c r="B5" s="7" t="str">
        <x:v>T4</x:v>
      </x:c>
      <x:c r="C5" s="7" t="str">
        <x:v>找到至少一个 evidence_id</x:v>
      </x:c>
      <x:c r="D5" s="7" t="str"/>
      <x:c r="E5" s="7" t="str"/>
      <x:c r="F5" s="7" t="str"/>
      <x:c r="G5" s="7" t="str"/>
      <x:c r="H5" s="7" t="str"/>
      <x:c r="I5" s="7" t="str"/>
    </x:row>
    <x:row r="6">
      <x:c r="A6" s="7" t="str">
        <x:v>P-01</x:v>
      </x:c>
      <x:c r="B6" s="7" t="str">
        <x:v>T5</x:v>
      </x:c>
      <x:c r="C6" s="7" t="str">
        <x:v>完成反馈测试并查看路径更新</x:v>
      </x:c>
      <x:c r="D6" s="7" t="str"/>
      <x:c r="E6" s="7" t="str"/>
      <x:c r="F6" s="7" t="str"/>
      <x:c r="G6" s="7" t="str"/>
      <x:c r="H6" s="7" t="str"/>
      <x:c r="I6" s="7" t="str"/>
    </x:row>
    <x:row r="7">
      <x:c r="A7" s="7" t="str">
        <x:v>P-01</x:v>
      </x:c>
      <x:c r="B7" s="7" t="str">
        <x:v>T6</x:v>
      </x:c>
      <x:c r="C7" s="7" t="str">
        <x:v>导出学情报告</x:v>
      </x:c>
      <x:c r="D7" s="7" t="str"/>
      <x:c r="E7" s="7" t="str"/>
      <x:c r="F7" s="7" t="str"/>
      <x:c r="G7" s="7" t="str"/>
      <x:c r="H7" s="7" t="str"/>
      <x:c r="I7" s="7" t="str"/>
    </x:row>
    <x:row r="8">
      <x:c r="A8" s="7" t="str">
        <x:v>P-02</x:v>
      </x:c>
      <x:c r="B8" s="7" t="str">
        <x:v>T1</x:v>
      </x:c>
      <x:c r="C8" s="7" t="str">
        <x:v>识别当前数据、检索和生成模式</x:v>
      </x:c>
      <x:c r="D8" s="7" t="str"/>
      <x:c r="E8" s="7" t="str"/>
      <x:c r="F8" s="7" t="str"/>
      <x:c r="G8" s="7" t="str"/>
      <x:c r="H8" s="7" t="str"/>
      <x:c r="I8" s="7" t="str"/>
    </x:row>
    <x:row r="9">
      <x:c r="A9" s="7" t="str">
        <x:v>P-02</x:v>
      </x:c>
      <x:c r="B9" s="7" t="str">
        <x:v>T2</x:v>
      </x:c>
      <x:c r="C9" s="7" t="str">
        <x:v>选择画像和训练方向并完成诊断</x:v>
      </x:c>
      <x:c r="D9" s="7" t="str"/>
      <x:c r="E9" s="7" t="str"/>
      <x:c r="F9" s="7" t="str"/>
      <x:c r="G9" s="7" t="str"/>
      <x:c r="H9" s="7" t="str"/>
      <x:c r="I9" s="7" t="str"/>
    </x:row>
    <x:row r="10">
      <x:c r="A10" s="7" t="str">
        <x:v>P-02</x:v>
      </x:c>
      <x:c r="B10" s="7" t="str">
        <x:v>T3</x:v>
      </x:c>
      <x:c r="C10" s="7" t="str">
        <x:v>展开 6 个 Agent 步骤</x:v>
      </x:c>
      <x:c r="D10" s="7" t="str"/>
      <x:c r="E10" s="7" t="str"/>
      <x:c r="F10" s="7" t="str"/>
      <x:c r="G10" s="7" t="str"/>
      <x:c r="H10" s="7" t="str"/>
      <x:c r="I10" s="7" t="str"/>
    </x:row>
    <x:row r="11">
      <x:c r="A11" s="7" t="str">
        <x:v>P-02</x:v>
      </x:c>
      <x:c r="B11" s="7" t="str">
        <x:v>T4</x:v>
      </x:c>
      <x:c r="C11" s="7" t="str">
        <x:v>找到至少一个 evidence_id</x:v>
      </x:c>
      <x:c r="D11" s="7" t="str"/>
      <x:c r="E11" s="7" t="str"/>
      <x:c r="F11" s="7" t="str"/>
      <x:c r="G11" s="7" t="str"/>
      <x:c r="H11" s="7" t="str"/>
      <x:c r="I11" s="7" t="str"/>
    </x:row>
    <x:row r="12">
      <x:c r="A12" s="7" t="str">
        <x:v>P-02</x:v>
      </x:c>
      <x:c r="B12" s="7" t="str">
        <x:v>T5</x:v>
      </x:c>
      <x:c r="C12" s="7" t="str">
        <x:v>完成反馈测试并查看路径更新</x:v>
      </x:c>
      <x:c r="D12" s="7" t="str"/>
      <x:c r="E12" s="7" t="str"/>
      <x:c r="F12" s="7" t="str"/>
      <x:c r="G12" s="7" t="str"/>
      <x:c r="H12" s="7" t="str"/>
      <x:c r="I12" s="7" t="str"/>
    </x:row>
    <x:row r="13">
      <x:c r="A13" s="7" t="str">
        <x:v>P-02</x:v>
      </x:c>
      <x:c r="B13" s="7" t="str">
        <x:v>T6</x:v>
      </x:c>
      <x:c r="C13" s="7" t="str">
        <x:v>导出学情报告</x:v>
      </x:c>
      <x:c r="D13" s="7" t="str"/>
      <x:c r="E13" s="7" t="str"/>
      <x:c r="F13" s="7" t="str"/>
      <x:c r="G13" s="7" t="str"/>
      <x:c r="H13" s="7" t="str"/>
      <x:c r="I13" s="7" t="str"/>
    </x:row>
    <x:row r="14">
      <x:c r="A14" s="7" t="str">
        <x:v>P-03</x:v>
      </x:c>
      <x:c r="B14" s="7" t="str">
        <x:v>T1</x:v>
      </x:c>
      <x:c r="C14" s="7" t="str">
        <x:v>识别当前数据、检索和生成模式</x:v>
      </x:c>
      <x:c r="D14" s="7" t="str"/>
      <x:c r="E14" s="7" t="str"/>
      <x:c r="F14" s="7" t="str"/>
      <x:c r="G14" s="7" t="str"/>
      <x:c r="H14" s="7" t="str"/>
      <x:c r="I14" s="7" t="str"/>
    </x:row>
    <x:row r="15">
      <x:c r="A15" s="7" t="str">
        <x:v>P-03</x:v>
      </x:c>
      <x:c r="B15" s="7" t="str">
        <x:v>T2</x:v>
      </x:c>
      <x:c r="C15" s="7" t="str">
        <x:v>选择画像和训练方向并完成诊断</x:v>
      </x:c>
      <x:c r="D15" s="7" t="str"/>
      <x:c r="E15" s="7" t="str"/>
      <x:c r="F15" s="7" t="str"/>
      <x:c r="G15" s="7" t="str"/>
      <x:c r="H15" s="7" t="str"/>
      <x:c r="I15" s="7" t="str"/>
    </x:row>
    <x:row r="16">
      <x:c r="A16" s="7" t="str">
        <x:v>P-03</x:v>
      </x:c>
      <x:c r="B16" s="7" t="str">
        <x:v>T3</x:v>
      </x:c>
      <x:c r="C16" s="7" t="str">
        <x:v>展开 6 个 Agent 步骤</x:v>
      </x:c>
      <x:c r="D16" s="7" t="str"/>
      <x:c r="E16" s="7" t="str"/>
      <x:c r="F16" s="7" t="str"/>
      <x:c r="G16" s="7" t="str"/>
      <x:c r="H16" s="7" t="str"/>
      <x:c r="I16" s="7" t="str"/>
    </x:row>
    <x:row r="17">
      <x:c r="A17" s="7" t="str">
        <x:v>P-03</x:v>
      </x:c>
      <x:c r="B17" s="7" t="str">
        <x:v>T4</x:v>
      </x:c>
      <x:c r="C17" s="7" t="str">
        <x:v>找到至少一个 evidence_id</x:v>
      </x:c>
      <x:c r="D17" s="7" t="str"/>
      <x:c r="E17" s="7" t="str"/>
      <x:c r="F17" s="7" t="str"/>
      <x:c r="G17" s="7" t="str"/>
      <x:c r="H17" s="7" t="str"/>
      <x:c r="I17" s="7" t="str"/>
    </x:row>
    <x:row r="18">
      <x:c r="A18" s="7" t="str">
        <x:v>P-03</x:v>
      </x:c>
      <x:c r="B18" s="7" t="str">
        <x:v>T5</x:v>
      </x:c>
      <x:c r="C18" s="7" t="str">
        <x:v>完成反馈测试并查看路径更新</x:v>
      </x:c>
      <x:c r="D18" s="7" t="str"/>
      <x:c r="E18" s="7" t="str"/>
      <x:c r="F18" s="7" t="str"/>
      <x:c r="G18" s="7" t="str"/>
      <x:c r="H18" s="7" t="str"/>
      <x:c r="I18" s="7" t="str"/>
    </x:row>
    <x:row r="19">
      <x:c r="A19" s="7" t="str">
        <x:v>P-03</x:v>
      </x:c>
      <x:c r="B19" s="7" t="str">
        <x:v>T6</x:v>
      </x:c>
      <x:c r="C19" s="7" t="str">
        <x:v>导出学情报告</x:v>
      </x:c>
      <x:c r="D19" s="7" t="str"/>
      <x:c r="E19" s="7" t="str"/>
      <x:c r="F19" s="7" t="str"/>
      <x:c r="G19" s="7" t="str"/>
      <x:c r="H19" s="7" t="str"/>
      <x:c r="I19" s="7" t="str"/>
    </x:row>
    <x:row r="20">
      <x:c r="A20" s="7" t="str">
        <x:v>P-04</x:v>
      </x:c>
      <x:c r="B20" s="7" t="str">
        <x:v>T1</x:v>
      </x:c>
      <x:c r="C20" s="7" t="str">
        <x:v>识别当前数据、检索和生成模式</x:v>
      </x:c>
      <x:c r="D20" s="7" t="str"/>
      <x:c r="E20" s="7" t="str"/>
      <x:c r="F20" s="7" t="str"/>
      <x:c r="G20" s="7" t="str"/>
      <x:c r="H20" s="7" t="str"/>
      <x:c r="I20" s="7" t="str"/>
    </x:row>
    <x:row r="21">
      <x:c r="A21" s="7" t="str">
        <x:v>P-04</x:v>
      </x:c>
      <x:c r="B21" s="7" t="str">
        <x:v>T2</x:v>
      </x:c>
      <x:c r="C21" s="7" t="str">
        <x:v>选择画像和训练方向并完成诊断</x:v>
      </x:c>
      <x:c r="D21" s="7" t="str"/>
      <x:c r="E21" s="7" t="str"/>
      <x:c r="F21" s="7" t="str"/>
      <x:c r="G21" s="7" t="str"/>
      <x:c r="H21" s="7" t="str"/>
      <x:c r="I21" s="7" t="str"/>
    </x:row>
    <x:row r="22">
      <x:c r="A22" s="7" t="str">
        <x:v>P-04</x:v>
      </x:c>
      <x:c r="B22" s="7" t="str">
        <x:v>T3</x:v>
      </x:c>
      <x:c r="C22" s="7" t="str">
        <x:v>展开 6 个 Agent 步骤</x:v>
      </x:c>
      <x:c r="D22" s="7" t="str"/>
      <x:c r="E22" s="7" t="str"/>
      <x:c r="F22" s="7" t="str"/>
      <x:c r="G22" s="7" t="str"/>
      <x:c r="H22" s="7" t="str"/>
      <x:c r="I22" s="7" t="str"/>
    </x:row>
    <x:row r="23">
      <x:c r="A23" s="7" t="str">
        <x:v>P-04</x:v>
      </x:c>
      <x:c r="B23" s="7" t="str">
        <x:v>T4</x:v>
      </x:c>
      <x:c r="C23" s="7" t="str">
        <x:v>找到至少一个 evidence_id</x:v>
      </x:c>
      <x:c r="D23" s="7" t="str"/>
      <x:c r="E23" s="7" t="str"/>
      <x:c r="F23" s="7" t="str"/>
      <x:c r="G23" s="7" t="str"/>
      <x:c r="H23" s="7" t="str"/>
      <x:c r="I23" s="7" t="str"/>
    </x:row>
    <x:row r="24">
      <x:c r="A24" s="7" t="str">
        <x:v>P-04</x:v>
      </x:c>
      <x:c r="B24" s="7" t="str">
        <x:v>T5</x:v>
      </x:c>
      <x:c r="C24" s="7" t="str">
        <x:v>完成反馈测试并查看路径更新</x:v>
      </x:c>
      <x:c r="D24" s="7" t="str"/>
      <x:c r="E24" s="7" t="str"/>
      <x:c r="F24" s="7" t="str"/>
      <x:c r="G24" s="7" t="str"/>
      <x:c r="H24" s="7" t="str"/>
      <x:c r="I24" s="7" t="str"/>
    </x:row>
    <x:row r="25">
      <x:c r="A25" s="7" t="str">
        <x:v>P-04</x:v>
      </x:c>
      <x:c r="B25" s="7" t="str">
        <x:v>T6</x:v>
      </x:c>
      <x:c r="C25" s="7" t="str">
        <x:v>导出学情报告</x:v>
      </x:c>
      <x:c r="D25" s="7" t="str"/>
      <x:c r="E25" s="7" t="str"/>
      <x:c r="F25" s="7" t="str"/>
      <x:c r="G25" s="7" t="str"/>
      <x:c r="H25" s="7" t="str"/>
      <x:c r="I25" s="7" t="str"/>
    </x:row>
    <x:row r="26">
      <x:c r="A26" s="7" t="str">
        <x:v>P-05</x:v>
      </x:c>
      <x:c r="B26" s="7" t="str">
        <x:v>T1</x:v>
      </x:c>
      <x:c r="C26" s="7" t="str">
        <x:v>识别当前数据、检索和生成模式</x:v>
      </x:c>
      <x:c r="D26" s="7" t="str"/>
      <x:c r="E26" s="7" t="str"/>
      <x:c r="F26" s="7" t="str"/>
      <x:c r="G26" s="7" t="str"/>
      <x:c r="H26" s="7" t="str"/>
      <x:c r="I26" s="7" t="str"/>
    </x:row>
    <x:row r="27">
      <x:c r="A27" s="7" t="str">
        <x:v>P-05</x:v>
      </x:c>
      <x:c r="B27" s="7" t="str">
        <x:v>T2</x:v>
      </x:c>
      <x:c r="C27" s="7" t="str">
        <x:v>选择画像和训练方向并完成诊断</x:v>
      </x:c>
      <x:c r="D27" s="7" t="str"/>
      <x:c r="E27" s="7" t="str"/>
      <x:c r="F27" s="7" t="str"/>
      <x:c r="G27" s="7" t="str"/>
      <x:c r="H27" s="7" t="str"/>
      <x:c r="I27" s="7" t="str"/>
    </x:row>
    <x:row r="28">
      <x:c r="A28" s="7" t="str">
        <x:v>P-05</x:v>
      </x:c>
      <x:c r="B28" s="7" t="str">
        <x:v>T3</x:v>
      </x:c>
      <x:c r="C28" s="7" t="str">
        <x:v>展开 6 个 Agent 步骤</x:v>
      </x:c>
      <x:c r="D28" s="7" t="str"/>
      <x:c r="E28" s="7" t="str"/>
      <x:c r="F28" s="7" t="str"/>
      <x:c r="G28" s="7" t="str"/>
      <x:c r="H28" s="7" t="str"/>
      <x:c r="I28" s="7" t="str"/>
    </x:row>
    <x:row r="29">
      <x:c r="A29" s="7" t="str">
        <x:v>P-05</x:v>
      </x:c>
      <x:c r="B29" s="7" t="str">
        <x:v>T4</x:v>
      </x:c>
      <x:c r="C29" s="7" t="str">
        <x:v>找到至少一个 evidence_id</x:v>
      </x:c>
      <x:c r="D29" s="7" t="str"/>
      <x:c r="E29" s="7" t="str"/>
      <x:c r="F29" s="7" t="str"/>
      <x:c r="G29" s="7" t="str"/>
      <x:c r="H29" s="7" t="str"/>
      <x:c r="I29" s="7" t="str"/>
    </x:row>
    <x:row r="30">
      <x:c r="A30" s="7" t="str">
        <x:v>P-05</x:v>
      </x:c>
      <x:c r="B30" s="7" t="str">
        <x:v>T5</x:v>
      </x:c>
      <x:c r="C30" s="7" t="str">
        <x:v>完成反馈测试并查看路径更新</x:v>
      </x:c>
      <x:c r="D30" s="7" t="str"/>
      <x:c r="E30" s="7" t="str"/>
      <x:c r="F30" s="7" t="str"/>
      <x:c r="G30" s="7" t="str"/>
      <x:c r="H30" s="7" t="str"/>
      <x:c r="I30" s="7" t="str"/>
    </x:row>
    <x:row r="31">
      <x:c r="A31" s="7" t="str">
        <x:v>P-05</x:v>
      </x:c>
      <x:c r="B31" s="7" t="str">
        <x:v>T6</x:v>
      </x:c>
      <x:c r="C31" s="7" t="str">
        <x:v>导出学情报告</x:v>
      </x:c>
      <x:c r="D31" s="7" t="str"/>
      <x:c r="E31" s="7" t="str"/>
      <x:c r="F31" s="7" t="str"/>
      <x:c r="G31" s="7" t="str"/>
      <x:c r="H31" s="7" t="str"/>
      <x:c r="I31" s="7" t="str"/>
    </x:row>
    <x:row r="32">
      <x:c r="A32" s="7" t="str">
        <x:v>P-06</x:v>
      </x:c>
      <x:c r="B32" s="7" t="str">
        <x:v>T1</x:v>
      </x:c>
      <x:c r="C32" s="7" t="str">
        <x:v>识别当前数据、检索和生成模式</x:v>
      </x:c>
      <x:c r="D32" s="7" t="str"/>
      <x:c r="E32" s="7" t="str"/>
      <x:c r="F32" s="7" t="str"/>
      <x:c r="G32" s="7" t="str"/>
      <x:c r="H32" s="7" t="str"/>
      <x:c r="I32" s="7" t="str"/>
    </x:row>
    <x:row r="33">
      <x:c r="A33" s="7" t="str">
        <x:v>P-06</x:v>
      </x:c>
      <x:c r="B33" s="7" t="str">
        <x:v>T2</x:v>
      </x:c>
      <x:c r="C33" s="7" t="str">
        <x:v>选择画像和训练方向并完成诊断</x:v>
      </x:c>
      <x:c r="D33" s="7" t="str"/>
      <x:c r="E33" s="7" t="str"/>
      <x:c r="F33" s="7" t="str"/>
      <x:c r="G33" s="7" t="str"/>
      <x:c r="H33" s="7" t="str"/>
      <x:c r="I33" s="7" t="str"/>
    </x:row>
    <x:row r="34">
      <x:c r="A34" s="7" t="str">
        <x:v>P-06</x:v>
      </x:c>
      <x:c r="B34" s="7" t="str">
        <x:v>T3</x:v>
      </x:c>
      <x:c r="C34" s="7" t="str">
        <x:v>展开 6 个 Agent 步骤</x:v>
      </x:c>
      <x:c r="D34" s="7" t="str"/>
      <x:c r="E34" s="7" t="str"/>
      <x:c r="F34" s="7" t="str"/>
      <x:c r="G34" s="7" t="str"/>
      <x:c r="H34" s="7" t="str"/>
      <x:c r="I34" s="7" t="str"/>
    </x:row>
    <x:row r="35">
      <x:c r="A35" s="7" t="str">
        <x:v>P-06</x:v>
      </x:c>
      <x:c r="B35" s="7" t="str">
        <x:v>T4</x:v>
      </x:c>
      <x:c r="C35" s="7" t="str">
        <x:v>找到至少一个 evidence_id</x:v>
      </x:c>
      <x:c r="D35" s="7" t="str"/>
      <x:c r="E35" s="7" t="str"/>
      <x:c r="F35" s="7" t="str"/>
      <x:c r="G35" s="7" t="str"/>
      <x:c r="H35" s="7" t="str"/>
      <x:c r="I35" s="7" t="str"/>
    </x:row>
    <x:row r="36">
      <x:c r="A36" s="7" t="str">
        <x:v>P-06</x:v>
      </x:c>
      <x:c r="B36" s="7" t="str">
        <x:v>T5</x:v>
      </x:c>
      <x:c r="C36" s="7" t="str">
        <x:v>完成反馈测试并查看路径更新</x:v>
      </x:c>
      <x:c r="D36" s="7" t="str"/>
      <x:c r="E36" s="7" t="str"/>
      <x:c r="F36" s="7" t="str"/>
      <x:c r="G36" s="7" t="str"/>
      <x:c r="H36" s="7" t="str"/>
      <x:c r="I36" s="7" t="str"/>
    </x:row>
    <x:row r="37">
      <x:c r="A37" s="7" t="str">
        <x:v>P-06</x:v>
      </x:c>
      <x:c r="B37" s="7" t="str">
        <x:v>T6</x:v>
      </x:c>
      <x:c r="C37" s="7" t="str">
        <x:v>导出学情报告</x:v>
      </x:c>
      <x:c r="D37" s="7" t="str"/>
      <x:c r="E37" s="7" t="str"/>
      <x:c r="F37" s="7" t="str"/>
      <x:c r="G37" s="7" t="str"/>
      <x:c r="H37" s="7" t="str"/>
      <x:c r="I37" s="7" t="str"/>
    </x:row>
    <x:row r="38">
      <x:c r="A38" s="7" t="str">
        <x:v>P-07</x:v>
      </x:c>
      <x:c r="B38" s="7" t="str">
        <x:v>T1</x:v>
      </x:c>
      <x:c r="C38" s="7" t="str">
        <x:v>识别当前数据、检索和生成模式</x:v>
      </x:c>
      <x:c r="D38" s="7" t="str"/>
      <x:c r="E38" s="7" t="str"/>
      <x:c r="F38" s="7" t="str"/>
      <x:c r="G38" s="7" t="str"/>
      <x:c r="H38" s="7" t="str"/>
      <x:c r="I38" s="7" t="str"/>
    </x:row>
    <x:row r="39">
      <x:c r="A39" s="7" t="str">
        <x:v>P-07</x:v>
      </x:c>
      <x:c r="B39" s="7" t="str">
        <x:v>T2</x:v>
      </x:c>
      <x:c r="C39" s="7" t="str">
        <x:v>选择画像和训练方向并完成诊断</x:v>
      </x:c>
      <x:c r="D39" s="7" t="str"/>
      <x:c r="E39" s="7" t="str"/>
      <x:c r="F39" s="7" t="str"/>
      <x:c r="G39" s="7" t="str"/>
      <x:c r="H39" s="7" t="str"/>
      <x:c r="I39" s="7" t="str"/>
    </x:row>
    <x:row r="40">
      <x:c r="A40" s="7" t="str">
        <x:v>P-07</x:v>
      </x:c>
      <x:c r="B40" s="7" t="str">
        <x:v>T3</x:v>
      </x:c>
      <x:c r="C40" s="7" t="str">
        <x:v>展开 6 个 Agent 步骤</x:v>
      </x:c>
      <x:c r="D40" s="7" t="str"/>
      <x:c r="E40" s="7" t="str"/>
      <x:c r="F40" s="7" t="str"/>
      <x:c r="G40" s="7" t="str"/>
      <x:c r="H40" s="7" t="str"/>
      <x:c r="I40" s="7" t="str"/>
    </x:row>
    <x:row r="41">
      <x:c r="A41" s="7" t="str">
        <x:v>P-07</x:v>
      </x:c>
      <x:c r="B41" s="7" t="str">
        <x:v>T4</x:v>
      </x:c>
      <x:c r="C41" s="7" t="str">
        <x:v>找到至少一个 evidence_id</x:v>
      </x:c>
      <x:c r="D41" s="7" t="str"/>
      <x:c r="E41" s="7" t="str"/>
      <x:c r="F41" s="7" t="str"/>
      <x:c r="G41" s="7" t="str"/>
      <x:c r="H41" s="7" t="str"/>
      <x:c r="I41" s="7" t="str"/>
    </x:row>
    <x:row r="42">
      <x:c r="A42" s="7" t="str">
        <x:v>P-07</x:v>
      </x:c>
      <x:c r="B42" s="7" t="str">
        <x:v>T5</x:v>
      </x:c>
      <x:c r="C42" s="7" t="str">
        <x:v>完成反馈测试并查看路径更新</x:v>
      </x:c>
      <x:c r="D42" s="7" t="str"/>
      <x:c r="E42" s="7" t="str"/>
      <x:c r="F42" s="7" t="str"/>
      <x:c r="G42" s="7" t="str"/>
      <x:c r="H42" s="7" t="str"/>
      <x:c r="I42" s="7" t="str"/>
    </x:row>
    <x:row r="43">
      <x:c r="A43" s="7" t="str">
        <x:v>P-07</x:v>
      </x:c>
      <x:c r="B43" s="7" t="str">
        <x:v>T6</x:v>
      </x:c>
      <x:c r="C43" s="7" t="str">
        <x:v>导出学情报告</x:v>
      </x:c>
      <x:c r="D43" s="7" t="str"/>
      <x:c r="E43" s="7" t="str"/>
      <x:c r="F43" s="7" t="str"/>
      <x:c r="G43" s="7" t="str"/>
      <x:c r="H43" s="7" t="str"/>
      <x:c r="I43" s="7" t="str"/>
    </x:row>
    <x:row r="44">
      <x:c r="A44" s="7" t="str">
        <x:v>P-08</x:v>
      </x:c>
      <x:c r="B44" s="7" t="str">
        <x:v>T1</x:v>
      </x:c>
      <x:c r="C44" s="7" t="str">
        <x:v>识别当前数据、检索和生成模式</x:v>
      </x:c>
      <x:c r="D44" s="7" t="str"/>
      <x:c r="E44" s="7" t="str"/>
      <x:c r="F44" s="7" t="str"/>
      <x:c r="G44" s="7" t="str"/>
      <x:c r="H44" s="7" t="str"/>
      <x:c r="I44" s="7" t="str"/>
    </x:row>
    <x:row r="45">
      <x:c r="A45" s="7" t="str">
        <x:v>P-08</x:v>
      </x:c>
      <x:c r="B45" s="7" t="str">
        <x:v>T2</x:v>
      </x:c>
      <x:c r="C45" s="7" t="str">
        <x:v>选择画像和训练方向并完成诊断</x:v>
      </x:c>
      <x:c r="D45" s="7" t="str"/>
      <x:c r="E45" s="7" t="str"/>
      <x:c r="F45" s="7" t="str"/>
      <x:c r="G45" s="7" t="str"/>
      <x:c r="H45" s="7" t="str"/>
      <x:c r="I45" s="7" t="str"/>
    </x:row>
    <x:row r="46">
      <x:c r="A46" s="7" t="str">
        <x:v>P-08</x:v>
      </x:c>
      <x:c r="B46" s="7" t="str">
        <x:v>T3</x:v>
      </x:c>
      <x:c r="C46" s="7" t="str">
        <x:v>展开 6 个 Agent 步骤</x:v>
      </x:c>
      <x:c r="D46" s="7" t="str"/>
      <x:c r="E46" s="7" t="str"/>
      <x:c r="F46" s="7" t="str"/>
      <x:c r="G46" s="7" t="str"/>
      <x:c r="H46" s="7" t="str"/>
      <x:c r="I46" s="7" t="str"/>
    </x:row>
    <x:row r="47">
      <x:c r="A47" s="7" t="str">
        <x:v>P-08</x:v>
      </x:c>
      <x:c r="B47" s="7" t="str">
        <x:v>T4</x:v>
      </x:c>
      <x:c r="C47" s="7" t="str">
        <x:v>找到至少一个 evidence_id</x:v>
      </x:c>
      <x:c r="D47" s="7" t="str"/>
      <x:c r="E47" s="7" t="str"/>
      <x:c r="F47" s="7" t="str"/>
      <x:c r="G47" s="7" t="str"/>
      <x:c r="H47" s="7" t="str"/>
      <x:c r="I47" s="7" t="str"/>
    </x:row>
    <x:row r="48">
      <x:c r="A48" s="7" t="str">
        <x:v>P-08</x:v>
      </x:c>
      <x:c r="B48" s="7" t="str">
        <x:v>T5</x:v>
      </x:c>
      <x:c r="C48" s="7" t="str">
        <x:v>完成反馈测试并查看路径更新</x:v>
      </x:c>
      <x:c r="D48" s="7" t="str"/>
      <x:c r="E48" s="7" t="str"/>
      <x:c r="F48" s="7" t="str"/>
      <x:c r="G48" s="7" t="str"/>
      <x:c r="H48" s="7" t="str"/>
      <x:c r="I48" s="7" t="str"/>
    </x:row>
    <x:row r="49">
      <x:c r="A49" s="7" t="str">
        <x:v>P-08</x:v>
      </x:c>
      <x:c r="B49" s="7" t="str">
        <x:v>T6</x:v>
      </x:c>
      <x:c r="C49" s="7" t="str">
        <x:v>导出学情报告</x:v>
      </x:c>
      <x:c r="D49" s="7" t="str"/>
      <x:c r="E49" s="7" t="str"/>
      <x:c r="F49" s="7" t="str"/>
      <x:c r="G49" s="7" t="str"/>
      <x:c r="H49" s="7" t="str"/>
      <x:c r="I49" s="7" t="str"/>
    </x:row>
    <x:row r="50">
      <x:c r="A50" s="7" t="str">
        <x:v>P-09</x:v>
      </x:c>
      <x:c r="B50" s="7" t="str">
        <x:v>T1</x:v>
      </x:c>
      <x:c r="C50" s="7" t="str">
        <x:v>识别当前数据、检索和生成模式</x:v>
      </x:c>
      <x:c r="D50" s="7" t="str"/>
      <x:c r="E50" s="7" t="str"/>
      <x:c r="F50" s="7" t="str"/>
      <x:c r="G50" s="7" t="str"/>
      <x:c r="H50" s="7" t="str"/>
      <x:c r="I50" s="7" t="str"/>
    </x:row>
    <x:row r="51">
      <x:c r="A51" s="7" t="str">
        <x:v>P-09</x:v>
      </x:c>
      <x:c r="B51" s="7" t="str">
        <x:v>T2</x:v>
      </x:c>
      <x:c r="C51" s="7" t="str">
        <x:v>选择画像和训练方向并完成诊断</x:v>
      </x:c>
      <x:c r="D51" s="7" t="str"/>
      <x:c r="E51" s="7" t="str"/>
      <x:c r="F51" s="7" t="str"/>
      <x:c r="G51" s="7" t="str"/>
      <x:c r="H51" s="7" t="str"/>
      <x:c r="I51" s="7" t="str"/>
    </x:row>
    <x:row r="52">
      <x:c r="A52" s="7" t="str">
        <x:v>P-09</x:v>
      </x:c>
      <x:c r="B52" s="7" t="str">
        <x:v>T3</x:v>
      </x:c>
      <x:c r="C52" s="7" t="str">
        <x:v>展开 6 个 Agent 步骤</x:v>
      </x:c>
      <x:c r="D52" s="7" t="str"/>
      <x:c r="E52" s="7" t="str"/>
      <x:c r="F52" s="7" t="str"/>
      <x:c r="G52" s="7" t="str"/>
      <x:c r="H52" s="7" t="str"/>
      <x:c r="I52" s="7" t="str"/>
    </x:row>
    <x:row r="53">
      <x:c r="A53" s="7" t="str">
        <x:v>P-09</x:v>
      </x:c>
      <x:c r="B53" s="7" t="str">
        <x:v>T4</x:v>
      </x:c>
      <x:c r="C53" s="7" t="str">
        <x:v>找到至少一个 evidence_id</x:v>
      </x:c>
      <x:c r="D53" s="7" t="str"/>
      <x:c r="E53" s="7" t="str"/>
      <x:c r="F53" s="7" t="str"/>
      <x:c r="G53" s="7" t="str"/>
      <x:c r="H53" s="7" t="str"/>
      <x:c r="I53" s="7" t="str"/>
    </x:row>
    <x:row r="54">
      <x:c r="A54" s="7" t="str">
        <x:v>P-09</x:v>
      </x:c>
      <x:c r="B54" s="7" t="str">
        <x:v>T5</x:v>
      </x:c>
      <x:c r="C54" s="7" t="str">
        <x:v>完成反馈测试并查看路径更新</x:v>
      </x:c>
      <x:c r="D54" s="7" t="str"/>
      <x:c r="E54" s="7" t="str"/>
      <x:c r="F54" s="7" t="str"/>
      <x:c r="G54" s="7" t="str"/>
      <x:c r="H54" s="7" t="str"/>
      <x:c r="I54" s="7" t="str"/>
    </x:row>
    <x:row r="55">
      <x:c r="A55" s="7" t="str">
        <x:v>P-09</x:v>
      </x:c>
      <x:c r="B55" s="7" t="str">
        <x:v>T6</x:v>
      </x:c>
      <x:c r="C55" s="7" t="str">
        <x:v>导出学情报告</x:v>
      </x:c>
      <x:c r="D55" s="7" t="str"/>
      <x:c r="E55" s="7" t="str"/>
      <x:c r="F55" s="7" t="str"/>
      <x:c r="G55" s="7" t="str"/>
      <x:c r="H55" s="7" t="str"/>
      <x:c r="I55" s="7" t="str"/>
    </x:row>
  </x:sheetData>
  <x:conditionalFormatting sqref="D2:H55">
    <x:cfRule type="containsBlanks" dxfId="1" priority="1"/>
  </x:conditionalFormatting>
  <x:dataValidations count="2">
    <x:dataValidation type="list" sqref="D2:D55">
      <x:formula1>"是,否"</x:formula1>
    </x:dataValidation>
    <x:dataValidation type="list" sqref="H2:H55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1042a47f894e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42" hidden="0" customWidth="1"/>
    <x:col min="7" max="7" width="42" hidden="0" customWidth="1"/>
    <x:col min="8" max="8" width="18" hidden="0" customWidth="1"/>
  </x:cols>
  <x:sheetData>
    <x:row r="1" ht="32" customHeight="1">
      <x:c r="A1" s="14" t="str">
        <x:v>匿名编号</x:v>
      </x:c>
      <x:c r="B1" s="14" t="str">
        <x:v>训练方向</x:v>
      </x:c>
      <x:c r="C1" s="14" t="str">
        <x:v>前测(0-100)</x:v>
      </x:c>
      <x:c r="D1" s="14" t="str">
        <x:v>后测(0-100)</x:v>
      </x:c>
      <x:c r="E1" s="14" t="str">
        <x:v>分数变化</x:v>
      </x:c>
      <x:c r="F1" s="14" t="str">
        <x:v>前测盲区</x:v>
      </x:c>
      <x:c r="G1" s="14" t="str">
        <x:v>后测盲区</x:v>
      </x:c>
      <x:c r="H1" s="14" t="str">
        <x:v>复核人</x:v>
      </x:c>
    </x:row>
    <x:row r="2">
      <x:c r="A2" s="7" t="str">
        <x:v>P-01</x:v>
      </x:c>
      <x:c r="B2" s="7" t="str"/>
      <x:c r="C2" s="7" t="str"/>
      <x:c r="D2" s="7" t="str"/>
      <x:c r="E2" s="7" t="str">
        <x:f>IF(OR(C2="",D2=""),"",D2-C2)</x:f>
      </x:c>
      <x:c r="F2" s="7" t="str"/>
      <x:c r="G2" s="7" t="str"/>
      <x:c r="H2" s="7" t="str"/>
    </x:row>
    <x:row r="3">
      <x:c r="A3" s="7" t="str">
        <x:v>P-02</x:v>
      </x:c>
      <x:c r="B3" s="7" t="str"/>
      <x:c r="C3" s="7" t="str"/>
      <x:c r="D3" s="7" t="str"/>
      <x:c r="E3" s="7" t="str">
        <x:f>IF(OR(C3="",D3=""),"",D3-C3)</x:f>
      </x:c>
      <x:c r="F3" s="7" t="str"/>
      <x:c r="G3" s="7" t="str"/>
      <x:c r="H3" s="7" t="str"/>
    </x:row>
    <x:row r="4">
      <x:c r="A4" s="7" t="str">
        <x:v>P-03</x:v>
      </x:c>
      <x:c r="B4" s="7" t="str"/>
      <x:c r="C4" s="7" t="str"/>
      <x:c r="D4" s="7" t="str"/>
      <x:c r="E4" s="7" t="str">
        <x:f>IF(OR(C4="",D4=""),"",D4-C4)</x:f>
      </x:c>
      <x:c r="F4" s="7" t="str"/>
      <x:c r="G4" s="7" t="str"/>
      <x:c r="H4" s="7" t="str"/>
    </x:row>
    <x:row r="5">
      <x:c r="A5" s="7" t="str">
        <x:v>P-04</x:v>
      </x:c>
      <x:c r="B5" s="7" t="str"/>
      <x:c r="C5" s="7" t="str"/>
      <x:c r="D5" s="7" t="str"/>
      <x:c r="E5" s="7" t="str">
        <x:f>IF(OR(C5="",D5=""),"",D5-C5)</x:f>
      </x:c>
      <x:c r="F5" s="7" t="str"/>
      <x:c r="G5" s="7" t="str"/>
      <x:c r="H5" s="7" t="str"/>
    </x:row>
    <x:row r="6">
      <x:c r="A6" s="7" t="str">
        <x:v>P-05</x:v>
      </x:c>
      <x:c r="B6" s="7" t="str"/>
      <x:c r="C6" s="7" t="str"/>
      <x:c r="D6" s="7" t="str"/>
      <x:c r="E6" s="7" t="str">
        <x:f>IF(OR(C6="",D6=""),"",D6-C6)</x:f>
      </x:c>
      <x:c r="F6" s="7" t="str"/>
      <x:c r="G6" s="7" t="str"/>
      <x:c r="H6" s="7" t="str"/>
    </x:row>
    <x:row r="7">
      <x:c r="A7" s="7" t="str">
        <x:v>P-06</x:v>
      </x:c>
      <x:c r="B7" s="7" t="str"/>
      <x:c r="C7" s="7" t="str"/>
      <x:c r="D7" s="7" t="str"/>
      <x:c r="E7" s="7" t="str">
        <x:f>IF(OR(C7="",D7=""),"",D7-C7)</x:f>
      </x:c>
      <x:c r="F7" s="7" t="str"/>
      <x:c r="G7" s="7" t="str"/>
      <x:c r="H7" s="7" t="str"/>
    </x:row>
    <x:row r="8">
      <x:c r="A8" s="7" t="str">
        <x:v>P-07</x:v>
      </x:c>
      <x:c r="B8" s="7" t="str"/>
      <x:c r="C8" s="7" t="str"/>
      <x:c r="D8" s="7" t="str"/>
      <x:c r="E8" s="7" t="str">
        <x:f>IF(OR(C8="",D8=""),"",D8-C8)</x:f>
      </x:c>
      <x:c r="F8" s="7" t="str"/>
      <x:c r="G8" s="7" t="str"/>
      <x:c r="H8" s="7" t="str"/>
    </x:row>
    <x:row r="9">
      <x:c r="A9" s="7" t="str">
        <x:v>P-08</x:v>
      </x:c>
      <x:c r="B9" s="7" t="str"/>
      <x:c r="C9" s="7" t="str"/>
      <x:c r="D9" s="7" t="str"/>
      <x:c r="E9" s="7" t="str">
        <x:f>IF(OR(C9="",D9=""),"",D9-C9)</x:f>
      </x:c>
      <x:c r="F9" s="7" t="str"/>
      <x:c r="G9" s="7" t="str"/>
      <x:c r="H9" s="7" t="str"/>
    </x:row>
    <x:row r="10">
      <x:c r="A10" s="7" t="str">
        <x:v>P-09</x:v>
      </x:c>
      <x:c r="B10" s="7" t="str"/>
      <x:c r="C10" s="7" t="str"/>
      <x:c r="D10" s="7" t="str"/>
      <x:c r="E10" s="7" t="str">
        <x:f>IF(OR(C10="",D10=""),"",D10-C10)</x:f>
      </x:c>
      <x:c r="F10" s="7" t="str"/>
      <x:c r="G10" s="7" t="str"/>
      <x:c r="H10" s="7" t="str"/>
    </x:row>
  </x:sheetData>
  <x:conditionalFormatting sqref="B2:D10">
    <x:cfRule type="containsBlanks" dxfId="2" priority="1"/>
  </x:conditionalFormatting>
  <x:dataValidations count="1">
    <x:dataValidation type="list" sqref="B2:B10">
      <x:formula1>"航空轮胎,航空刹车片,复合材料板"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1bb7e6ba964f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</x:cols>
  <x:sheetData>
    <x:row r="1" ht="32" customHeight="1">
      <x:c r="A1" s="3" t="str">
        <x:v>真实用户试用汇总</x:v>
      </x:c>
      <x:c r="B1" s="3" t="str">
        <x:v>真实用户试用汇总</x:v>
      </x:c>
      <x:c r="C1" s="3" t="str">
        <x:v>真实用户试用汇总</x:v>
      </x:c>
      <x:c r="D1" s="3" t="str">
        <x:v>真实用户试用汇总</x:v>
      </x:c>
    </x:row>
    <x:row r="3" ht="32" customHeight="1">
      <x:c r="A3" s="14" t="str">
        <x:v>指标</x:v>
      </x:c>
      <x:c r="B3" s="14" t="str">
        <x:v>结果</x:v>
      </x:c>
    </x:row>
    <x:row r="4">
      <x:c r="A4" s="9" t="str">
        <x:v>计划参与人数</x:v>
      </x:c>
      <x:c r="B4" s="7" t="n">
        <x:v>9</x:v>
      </x:c>
    </x:row>
    <x:row r="5">
      <x:c r="A5" s="9" t="str">
        <x:v>已完成知情同意人数</x:v>
      </x:c>
      <x:c r="B5" s="7" t="n">
        <x:f>COUNTIF('参与者'!$E$2:$E$10,"是")</x:f>
        <x:v>0</x:v>
      </x:c>
    </x:row>
    <x:row r="6">
      <x:c r="A6" s="9" t="str">
        <x:v>闭环任务完成率</x:v>
      </x:c>
      <x:c r="B6" s="15" t="n">
        <x:f>IFERROR(COUNTIF('任务记录'!$D$2:$D$55,"是")/54,"")</x:f>
        <x:v>0</x:v>
      </x:c>
    </x:row>
    <x:row r="7">
      <x:c r="A7" s="9" t="str">
        <x:v>平均任务耗时(秒)</x:v>
      </x:c>
      <x:c r="B7" s="16" t="str">
        <x:f>IFERROR(AVERAGE('任务记录'!$E$2:$E$55),"")</x:f>
      </x:c>
    </x:row>
    <x:row r="8">
      <x:c r="A8" s="9" t="str">
        <x:v>平均易用性评分</x:v>
      </x:c>
      <x:c r="B8" s="16" t="str">
        <x:f>IFERROR(AVERAGE('任务记录'!$H$2:$H$55),"")</x:f>
      </x:c>
    </x:row>
    <x:row r="9">
      <x:c r="A9" s="9" t="str">
        <x:v>平均前测分数</x:v>
      </x:c>
      <x:c r="B9" s="16" t="str">
        <x:f>IFERROR(AVERAGE('前后测'!$C$2:$C$10),"")</x:f>
      </x:c>
    </x:row>
    <x:row r="10">
      <x:c r="A10" s="9" t="str">
        <x:v>平均后测分数</x:v>
      </x:c>
      <x:c r="B10" s="16" t="str">
        <x:f>IFERROR(AVERAGE('前后测'!$D$2:$D$10),"")</x:f>
      </x:c>
    </x:row>
    <x:row r="12">
      <x:c r="A12" s="18" t="str">
        <x:v>结论边界</x:v>
      </x:c>
      <x:c r="B12" s="18" t="str"/>
    </x:row>
    <x:row r="13">
      <x:c r="A13" s="7" t="str">
        <x:v>当前状态</x:v>
      </x:c>
      <x:c r="B13" s="7" t="str">
        <x:v>待真实采集</x:v>
      </x:c>
    </x:row>
    <x:row r="14">
      <x:c r="A14" s="7" t="str">
        <x:v>可用于</x:v>
      </x:c>
      <x:c r="B14" s="7" t="str">
        <x:v>可用性观察、小样本学习变化、演示闭环验证</x:v>
      </x:c>
    </x:row>
    <x:row r="15">
      <x:c r="A15" s="7" t="str">
        <x:v>不可用于</x:v>
      </x:c>
      <x:c r="B15" s="7" t="str">
        <x:v>未经统计设计的显著性结论、岗位能力认证、维修放行</x:v>
      </x:c>
    </x:row>
  </x:sheetData>
  <x:mergeCells>
    <x:mergeCell ref="A1:D1"/>
  </x:mergeCells>
  <x:pageMargins left="0.7" right="0.7" top="0.75" bottom="0.75" header="0.3" footer="0.3"/>
</x:worksheet>
</file>